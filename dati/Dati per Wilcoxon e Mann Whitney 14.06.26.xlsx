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tap/Dropbox/Woodstock/Analisi statistiche/Analisi fisiologiche/"/>
    </mc:Choice>
  </mc:AlternateContent>
  <xr:revisionPtr revIDLastSave="0" documentId="13_ncr:1_{A5A83FC6-6521-AB42-A647-7C1E5DC64730}" xr6:coauthVersionLast="47" xr6:coauthVersionMax="47" xr10:uidLastSave="{00000000-0000-0000-0000-000000000000}"/>
  <bookViews>
    <workbookView xWindow="120" yWindow="1600" windowWidth="32460" windowHeight="16340" xr2:uid="{00000000-000D-0000-FFFF-FFFF00000000}"/>
  </bookViews>
  <sheets>
    <sheet name="Foglio1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LNawOqPvb17fj87KXNxUt3NlH3vd+qgsIufTYmXbWPY="/>
    </ext>
  </extLst>
</workbook>
</file>

<file path=xl/calcChain.xml><?xml version="1.0" encoding="utf-8"?>
<calcChain xmlns="http://schemas.openxmlformats.org/spreadsheetml/2006/main">
  <c r="CG64" i="6" l="1"/>
  <c r="CF64" i="6"/>
  <c r="AD64" i="6"/>
  <c r="AF64" i="6" s="1"/>
  <c r="AA64" i="6"/>
  <c r="T64" i="6"/>
  <c r="O64" i="6"/>
  <c r="J64" i="6"/>
  <c r="AC63" i="6"/>
  <c r="AD63" i="6" s="1"/>
  <c r="AA63" i="6"/>
  <c r="T63" i="6"/>
  <c r="O63" i="6"/>
  <c r="J63" i="6"/>
  <c r="CF62" i="6"/>
  <c r="AA62" i="6"/>
  <c r="AC62" i="6" s="1"/>
  <c r="AD62" i="6" s="1"/>
  <c r="T62" i="6"/>
  <c r="O62" i="6"/>
  <c r="J62" i="6"/>
  <c r="CG61" i="6"/>
  <c r="CF61" i="6"/>
  <c r="AC61" i="6"/>
  <c r="AD61" i="6" s="1"/>
  <c r="AF61" i="6" s="1"/>
  <c r="AA61" i="6"/>
  <c r="T61" i="6"/>
  <c r="O61" i="6"/>
  <c r="J61" i="6"/>
  <c r="CG60" i="6"/>
  <c r="CF60" i="6"/>
  <c r="AA60" i="6"/>
  <c r="AC60" i="6" s="1"/>
  <c r="AD60" i="6" s="1"/>
  <c r="T60" i="6"/>
  <c r="O60" i="6"/>
  <c r="J60" i="6"/>
  <c r="CG59" i="6"/>
  <c r="CF59" i="6"/>
  <c r="AA59" i="6"/>
  <c r="AC59" i="6" s="1"/>
  <c r="AD59" i="6" s="1"/>
  <c r="T59" i="6"/>
  <c r="O59" i="6"/>
  <c r="J59" i="6"/>
  <c r="CG58" i="6"/>
  <c r="CF58" i="6"/>
  <c r="AA58" i="6"/>
  <c r="AC58" i="6" s="1"/>
  <c r="AD58" i="6" s="1"/>
  <c r="AF58" i="6" s="1"/>
  <c r="T58" i="6"/>
  <c r="O58" i="6"/>
  <c r="J58" i="6"/>
  <c r="CG57" i="6"/>
  <c r="CF57" i="6"/>
  <c r="AA57" i="6"/>
  <c r="AC57" i="6" s="1"/>
  <c r="AD57" i="6" s="1"/>
  <c r="T57" i="6"/>
  <c r="O57" i="6"/>
  <c r="J57" i="6"/>
  <c r="CG56" i="6"/>
  <c r="CF56" i="6"/>
  <c r="AA56" i="6"/>
  <c r="AC56" i="6" s="1"/>
  <c r="AD56" i="6" s="1"/>
  <c r="T56" i="6"/>
  <c r="O56" i="6"/>
  <c r="J56" i="6"/>
  <c r="CG55" i="6"/>
  <c r="CF55" i="6"/>
  <c r="AA55" i="6"/>
  <c r="AC55" i="6" s="1"/>
  <c r="AD55" i="6" s="1"/>
  <c r="T55" i="6"/>
  <c r="O55" i="6"/>
  <c r="J55" i="6"/>
  <c r="CG54" i="6"/>
  <c r="CF54" i="6"/>
  <c r="AA54" i="6"/>
  <c r="AC54" i="6" s="1"/>
  <c r="AD54" i="6" s="1"/>
  <c r="T54" i="6"/>
  <c r="O54" i="6"/>
  <c r="J54" i="6"/>
  <c r="CG53" i="6"/>
  <c r="CF53" i="6"/>
  <c r="AA53" i="6"/>
  <c r="AC53" i="6" s="1"/>
  <c r="AD53" i="6" s="1"/>
  <c r="T53" i="6"/>
  <c r="O53" i="6"/>
  <c r="J53" i="6"/>
  <c r="CG52" i="6"/>
  <c r="CF52" i="6"/>
  <c r="AC52" i="6"/>
  <c r="AD52" i="6" s="1"/>
  <c r="AF52" i="6" s="1"/>
  <c r="AA52" i="6"/>
  <c r="T52" i="6"/>
  <c r="O52" i="6"/>
  <c r="J52" i="6"/>
  <c r="CG51" i="6"/>
  <c r="CF51" i="6"/>
  <c r="AA51" i="6"/>
  <c r="AC51" i="6" s="1"/>
  <c r="AD51" i="6" s="1"/>
  <c r="T51" i="6"/>
  <c r="O51" i="6"/>
  <c r="J51" i="6"/>
  <c r="CG50" i="6"/>
  <c r="CF50" i="6"/>
  <c r="AA50" i="6"/>
  <c r="AC50" i="6" s="1"/>
  <c r="AD50" i="6" s="1"/>
  <c r="T50" i="6"/>
  <c r="O50" i="6"/>
  <c r="J50" i="6"/>
  <c r="CG49" i="6"/>
  <c r="CF49" i="6"/>
  <c r="AA49" i="6"/>
  <c r="AC49" i="6" s="1"/>
  <c r="AD49" i="6" s="1"/>
  <c r="T49" i="6"/>
  <c r="O49" i="6"/>
  <c r="J49" i="6"/>
  <c r="CG48" i="6"/>
  <c r="CF48" i="6"/>
  <c r="AA48" i="6"/>
  <c r="AC48" i="6" s="1"/>
  <c r="AD48" i="6" s="1"/>
  <c r="T48" i="6"/>
  <c r="O48" i="6"/>
  <c r="J48" i="6"/>
  <c r="CG47" i="6"/>
  <c r="CF47" i="6"/>
  <c r="AA47" i="6"/>
  <c r="AC47" i="6" s="1"/>
  <c r="AD47" i="6" s="1"/>
  <c r="T47" i="6"/>
  <c r="O47" i="6"/>
  <c r="J47" i="6"/>
  <c r="CG46" i="6"/>
  <c r="CF46" i="6"/>
  <c r="AA46" i="6"/>
  <c r="AC46" i="6" s="1"/>
  <c r="AD46" i="6" s="1"/>
  <c r="T46" i="6"/>
  <c r="O46" i="6"/>
  <c r="J46" i="6"/>
  <c r="CG45" i="6"/>
  <c r="CF45" i="6"/>
  <c r="AA45" i="6"/>
  <c r="AC45" i="6" s="1"/>
  <c r="AD45" i="6" s="1"/>
  <c r="T45" i="6"/>
  <c r="O45" i="6"/>
  <c r="J45" i="6"/>
  <c r="CG44" i="6"/>
  <c r="CF44" i="6"/>
  <c r="AA44" i="6"/>
  <c r="AC44" i="6" s="1"/>
  <c r="AD44" i="6" s="1"/>
  <c r="AF44" i="6" s="1"/>
  <c r="T44" i="6"/>
  <c r="O44" i="6"/>
  <c r="J44" i="6"/>
  <c r="CG43" i="6"/>
  <c r="CF43" i="6"/>
  <c r="AA43" i="6"/>
  <c r="AC43" i="6" s="1"/>
  <c r="AD43" i="6" s="1"/>
  <c r="T43" i="6"/>
  <c r="O43" i="6"/>
  <c r="J43" i="6"/>
  <c r="CG42" i="6"/>
  <c r="CF42" i="6"/>
  <c r="AA42" i="6"/>
  <c r="AC42" i="6" s="1"/>
  <c r="AD42" i="6" s="1"/>
  <c r="T42" i="6"/>
  <c r="O42" i="6"/>
  <c r="J42" i="6"/>
  <c r="CG41" i="6"/>
  <c r="CF41" i="6"/>
  <c r="AA41" i="6"/>
  <c r="AC41" i="6" s="1"/>
  <c r="AD41" i="6" s="1"/>
  <c r="AE41" i="6" s="1"/>
  <c r="T41" i="6"/>
  <c r="O41" i="6"/>
  <c r="J41" i="6"/>
  <c r="CG40" i="6"/>
  <c r="CF40" i="6"/>
  <c r="AA40" i="6"/>
  <c r="AC40" i="6" s="1"/>
  <c r="AD40" i="6" s="1"/>
  <c r="T40" i="6"/>
  <c r="O40" i="6"/>
  <c r="J40" i="6"/>
  <c r="CG39" i="6"/>
  <c r="CF39" i="6"/>
  <c r="AC39" i="6"/>
  <c r="AD39" i="6" s="1"/>
  <c r="AA39" i="6"/>
  <c r="T39" i="6"/>
  <c r="O39" i="6"/>
  <c r="J39" i="6"/>
  <c r="CG38" i="6"/>
  <c r="CF38" i="6"/>
  <c r="AA38" i="6"/>
  <c r="AC38" i="6" s="1"/>
  <c r="AD38" i="6" s="1"/>
  <c r="T38" i="6"/>
  <c r="O38" i="6"/>
  <c r="J38" i="6"/>
  <c r="CG37" i="6"/>
  <c r="CF37" i="6"/>
  <c r="AA37" i="6"/>
  <c r="AC37" i="6" s="1"/>
  <c r="AD37" i="6" s="1"/>
  <c r="T37" i="6"/>
  <c r="O37" i="6"/>
  <c r="J37" i="6"/>
  <c r="CG36" i="6"/>
  <c r="CF36" i="6"/>
  <c r="AA36" i="6"/>
  <c r="AC36" i="6" s="1"/>
  <c r="AD36" i="6" s="1"/>
  <c r="AE36" i="6" s="1"/>
  <c r="T36" i="6"/>
  <c r="O36" i="6"/>
  <c r="J36" i="6"/>
  <c r="CG35" i="6"/>
  <c r="CF35" i="6"/>
  <c r="AA35" i="6"/>
  <c r="AC35" i="6" s="1"/>
  <c r="AD35" i="6" s="1"/>
  <c r="AE35" i="6" s="1"/>
  <c r="T35" i="6"/>
  <c r="O35" i="6"/>
  <c r="J35" i="6"/>
  <c r="CG34" i="6"/>
  <c r="CF34" i="6"/>
  <c r="AA34" i="6"/>
  <c r="AC34" i="6" s="1"/>
  <c r="AD34" i="6" s="1"/>
  <c r="T34" i="6"/>
  <c r="O34" i="6"/>
  <c r="J34" i="6"/>
  <c r="CG33" i="6"/>
  <c r="CF33" i="6"/>
  <c r="AA33" i="6"/>
  <c r="AC33" i="6" s="1"/>
  <c r="AD33" i="6" s="1"/>
  <c r="T33" i="6"/>
  <c r="O33" i="6"/>
  <c r="J33" i="6"/>
  <c r="CG32" i="6"/>
  <c r="CF32" i="6"/>
  <c r="AA32" i="6"/>
  <c r="AC32" i="6" s="1"/>
  <c r="AD32" i="6" s="1"/>
  <c r="T32" i="6"/>
  <c r="O32" i="6"/>
  <c r="J32" i="6"/>
  <c r="CG31" i="6"/>
  <c r="CF31" i="6"/>
  <c r="AA31" i="6"/>
  <c r="AC31" i="6" s="1"/>
  <c r="AD31" i="6" s="1"/>
  <c r="T31" i="6"/>
  <c r="O31" i="6"/>
  <c r="J31" i="6"/>
  <c r="CG30" i="6"/>
  <c r="CF30" i="6"/>
  <c r="AA30" i="6"/>
  <c r="AC30" i="6" s="1"/>
  <c r="AD30" i="6" s="1"/>
  <c r="T30" i="6"/>
  <c r="O30" i="6"/>
  <c r="J30" i="6"/>
  <c r="CG29" i="6"/>
  <c r="CF29" i="6"/>
  <c r="AA29" i="6"/>
  <c r="AC29" i="6" s="1"/>
  <c r="AD29" i="6" s="1"/>
  <c r="T29" i="6"/>
  <c r="O29" i="6"/>
  <c r="J29" i="6"/>
  <c r="CG28" i="6"/>
  <c r="CF28" i="6"/>
  <c r="AA28" i="6"/>
  <c r="AC28" i="6" s="1"/>
  <c r="AD28" i="6" s="1"/>
  <c r="T28" i="6"/>
  <c r="O28" i="6"/>
  <c r="J28" i="6"/>
  <c r="CG27" i="6"/>
  <c r="CF27" i="6"/>
  <c r="AA27" i="6"/>
  <c r="AC27" i="6" s="1"/>
  <c r="AD27" i="6" s="1"/>
  <c r="T27" i="6"/>
  <c r="O27" i="6"/>
  <c r="J27" i="6"/>
  <c r="CG26" i="6"/>
  <c r="CF26" i="6"/>
  <c r="AA26" i="6"/>
  <c r="AC26" i="6" s="1"/>
  <c r="AD26" i="6" s="1"/>
  <c r="T26" i="6"/>
  <c r="O26" i="6"/>
  <c r="J26" i="6"/>
  <c r="CG25" i="6"/>
  <c r="CF25" i="6"/>
  <c r="AC25" i="6"/>
  <c r="AD25" i="6" s="1"/>
  <c r="AA25" i="6"/>
  <c r="T25" i="6"/>
  <c r="O25" i="6"/>
  <c r="J25" i="6"/>
  <c r="CG24" i="6"/>
  <c r="CF24" i="6"/>
  <c r="AA24" i="6"/>
  <c r="AC24" i="6" s="1"/>
  <c r="AD24" i="6" s="1"/>
  <c r="T24" i="6"/>
  <c r="O24" i="6"/>
  <c r="J24" i="6"/>
  <c r="CG23" i="6"/>
  <c r="CF23" i="6"/>
  <c r="AA23" i="6"/>
  <c r="AC23" i="6" s="1"/>
  <c r="AD23" i="6" s="1"/>
  <c r="AE23" i="6" s="1"/>
  <c r="T23" i="6"/>
  <c r="O23" i="6"/>
  <c r="J23" i="6"/>
  <c r="CG22" i="6"/>
  <c r="CF22" i="6"/>
  <c r="AA22" i="6"/>
  <c r="AC22" i="6" s="1"/>
  <c r="AD22" i="6" s="1"/>
  <c r="T22" i="6"/>
  <c r="O22" i="6"/>
  <c r="J22" i="6"/>
  <c r="CG21" i="6"/>
  <c r="CF21" i="6"/>
  <c r="AA21" i="6"/>
  <c r="AC21" i="6" s="1"/>
  <c r="AD21" i="6" s="1"/>
  <c r="T21" i="6"/>
  <c r="O21" i="6"/>
  <c r="J21" i="6"/>
  <c r="CG20" i="6"/>
  <c r="CF20" i="6"/>
  <c r="AA20" i="6"/>
  <c r="AC20" i="6" s="1"/>
  <c r="AD20" i="6" s="1"/>
  <c r="AF20" i="6" s="1"/>
  <c r="T20" i="6"/>
  <c r="O20" i="6"/>
  <c r="J20" i="6"/>
  <c r="CG19" i="6"/>
  <c r="CF19" i="6"/>
  <c r="AC19" i="6"/>
  <c r="AD19" i="6" s="1"/>
  <c r="AA19" i="6"/>
  <c r="T19" i="6"/>
  <c r="O19" i="6"/>
  <c r="J19" i="6"/>
  <c r="CG18" i="6"/>
  <c r="CF18" i="6"/>
  <c r="AA18" i="6"/>
  <c r="AC18" i="6" s="1"/>
  <c r="AD18" i="6" s="1"/>
  <c r="AE18" i="6" s="1"/>
  <c r="T18" i="6"/>
  <c r="O18" i="6"/>
  <c r="J18" i="6"/>
  <c r="CG17" i="6"/>
  <c r="CF17" i="6"/>
  <c r="AA17" i="6"/>
  <c r="AC17" i="6" s="1"/>
  <c r="AD17" i="6" s="1"/>
  <c r="T17" i="6"/>
  <c r="O17" i="6"/>
  <c r="J17" i="6"/>
  <c r="CG16" i="6"/>
  <c r="CF16" i="6"/>
  <c r="AA16" i="6"/>
  <c r="AC16" i="6" s="1"/>
  <c r="AD16" i="6" s="1"/>
  <c r="T16" i="6"/>
  <c r="O16" i="6"/>
  <c r="J16" i="6"/>
  <c r="CG15" i="6"/>
  <c r="CF15" i="6"/>
  <c r="AA15" i="6"/>
  <c r="AC15" i="6" s="1"/>
  <c r="AD15" i="6" s="1"/>
  <c r="T15" i="6"/>
  <c r="O15" i="6"/>
  <c r="J15" i="6"/>
  <c r="CG14" i="6"/>
  <c r="CF14" i="6"/>
  <c r="AA14" i="6"/>
  <c r="AC14" i="6" s="1"/>
  <c r="AD14" i="6" s="1"/>
  <c r="T14" i="6"/>
  <c r="O14" i="6"/>
  <c r="J14" i="6"/>
  <c r="CG13" i="6"/>
  <c r="CF13" i="6"/>
  <c r="AA13" i="6"/>
  <c r="AC13" i="6" s="1"/>
  <c r="AD13" i="6" s="1"/>
  <c r="T13" i="6"/>
  <c r="O13" i="6"/>
  <c r="J13" i="6"/>
  <c r="CG12" i="6"/>
  <c r="CF12" i="6"/>
  <c r="AA12" i="6"/>
  <c r="AC12" i="6" s="1"/>
  <c r="AD12" i="6" s="1"/>
  <c r="T12" i="6"/>
  <c r="O12" i="6"/>
  <c r="J12" i="6"/>
  <c r="CG11" i="6"/>
  <c r="CF11" i="6"/>
  <c r="AA11" i="6"/>
  <c r="AC11" i="6" s="1"/>
  <c r="AD11" i="6" s="1"/>
  <c r="T11" i="6"/>
  <c r="O11" i="6"/>
  <c r="J11" i="6"/>
  <c r="CG10" i="6"/>
  <c r="CF10" i="6"/>
  <c r="AA10" i="6"/>
  <c r="AC10" i="6" s="1"/>
  <c r="AD10" i="6" s="1"/>
  <c r="T10" i="6"/>
  <c r="O10" i="6"/>
  <c r="J10" i="6"/>
  <c r="CG9" i="6"/>
  <c r="CF9" i="6"/>
  <c r="AA9" i="6"/>
  <c r="AC9" i="6" s="1"/>
  <c r="AD9" i="6" s="1"/>
  <c r="T9" i="6"/>
  <c r="O9" i="6"/>
  <c r="J9" i="6"/>
  <c r="CG8" i="6"/>
  <c r="CF8" i="6"/>
  <c r="AA8" i="6"/>
  <c r="AC8" i="6" s="1"/>
  <c r="AD8" i="6" s="1"/>
  <c r="T8" i="6"/>
  <c r="O8" i="6"/>
  <c r="J8" i="6"/>
  <c r="CF7" i="6"/>
  <c r="AA7" i="6"/>
  <c r="AC7" i="6" s="1"/>
  <c r="AD7" i="6" s="1"/>
  <c r="T7" i="6"/>
  <c r="O7" i="6"/>
  <c r="J7" i="6"/>
  <c r="CG6" i="6"/>
  <c r="CF6" i="6"/>
  <c r="AC6" i="6"/>
  <c r="AD6" i="6" s="1"/>
  <c r="AA6" i="6"/>
  <c r="T6" i="6"/>
  <c r="O6" i="6"/>
  <c r="J6" i="6"/>
  <c r="CG5" i="6"/>
  <c r="CF5" i="6"/>
  <c r="AA5" i="6"/>
  <c r="AC5" i="6" s="1"/>
  <c r="AD5" i="6" s="1"/>
  <c r="T5" i="6"/>
  <c r="O5" i="6"/>
  <c r="J5" i="6"/>
  <c r="CG4" i="6"/>
  <c r="CF4" i="6"/>
  <c r="AA4" i="6"/>
  <c r="AC4" i="6" s="1"/>
  <c r="AD4" i="6" s="1"/>
  <c r="T4" i="6"/>
  <c r="O4" i="6"/>
  <c r="J4" i="6"/>
  <c r="CG3" i="6"/>
  <c r="CF3" i="6"/>
  <c r="AA3" i="6"/>
  <c r="AC3" i="6" s="1"/>
  <c r="AD3" i="6" s="1"/>
  <c r="T3" i="6"/>
  <c r="O3" i="6"/>
  <c r="J3" i="6"/>
  <c r="CG2" i="6"/>
  <c r="CF2" i="6"/>
  <c r="AA2" i="6"/>
  <c r="AC2" i="6" s="1"/>
  <c r="AD2" i="6" s="1"/>
  <c r="T2" i="6"/>
  <c r="O2" i="6"/>
  <c r="J2" i="6"/>
  <c r="AF26" i="6" l="1"/>
  <c r="AE26" i="6"/>
  <c r="AF34" i="6"/>
  <c r="AE34" i="6"/>
  <c r="AF13" i="6"/>
  <c r="AE13" i="6"/>
  <c r="AF39" i="6"/>
  <c r="AE39" i="6"/>
  <c r="AF49" i="6"/>
  <c r="AE49" i="6"/>
  <c r="AF3" i="6"/>
  <c r="AE3" i="6"/>
  <c r="AE48" i="6"/>
  <c r="AF48" i="6"/>
  <c r="AF53" i="6"/>
  <c r="AE53" i="6"/>
  <c r="AF51" i="6"/>
  <c r="AE51" i="6"/>
  <c r="AF46" i="6"/>
  <c r="AE46" i="6"/>
  <c r="AF15" i="6"/>
  <c r="AE15" i="6"/>
  <c r="AF8" i="6"/>
  <c r="AE8" i="6"/>
  <c r="AE25" i="6"/>
  <c r="AF25" i="6"/>
  <c r="AE6" i="6"/>
  <c r="AF6" i="6"/>
  <c r="AF10" i="6"/>
  <c r="AE10" i="6"/>
  <c r="AF22" i="6"/>
  <c r="AE22" i="6"/>
  <c r="AE32" i="6"/>
  <c r="AF32" i="6"/>
  <c r="AF56" i="6"/>
  <c r="AE56" i="6"/>
  <c r="AF54" i="6"/>
  <c r="AE54" i="6"/>
  <c r="AF63" i="6"/>
  <c r="AE63" i="6"/>
  <c r="AF11" i="6"/>
  <c r="AE11" i="6"/>
  <c r="AE5" i="6"/>
  <c r="AF5" i="6"/>
  <c r="AE30" i="6"/>
  <c r="AF30" i="6"/>
  <c r="AF42" i="6"/>
  <c r="AE42" i="6"/>
  <c r="AF33" i="6"/>
  <c r="AE33" i="6"/>
  <c r="AF14" i="6"/>
  <c r="AE14" i="6"/>
  <c r="AE37" i="6"/>
  <c r="AF37" i="6"/>
  <c r="AF59" i="6"/>
  <c r="AE59" i="6"/>
  <c r="AF29" i="6"/>
  <c r="AE29" i="6"/>
  <c r="AF60" i="6"/>
  <c r="AE60" i="6"/>
  <c r="AF27" i="6"/>
  <c r="AE27" i="6"/>
  <c r="AF16" i="6"/>
  <c r="AE16" i="6"/>
  <c r="AF9" i="6"/>
  <c r="AE9" i="6"/>
  <c r="AF4" i="6"/>
  <c r="AE4" i="6"/>
  <c r="AF21" i="6"/>
  <c r="AE21" i="6"/>
  <c r="AE28" i="6"/>
  <c r="AF28" i="6"/>
  <c r="AF47" i="6"/>
  <c r="AE47" i="6"/>
  <c r="AF57" i="6"/>
  <c r="AE57" i="6"/>
  <c r="AE12" i="6"/>
  <c r="AF12" i="6"/>
  <c r="AF19" i="6"/>
  <c r="AE19" i="6"/>
  <c r="AE24" i="6"/>
  <c r="AF24" i="6"/>
  <c r="AF31" i="6"/>
  <c r="AE31" i="6"/>
  <c r="AF38" i="6"/>
  <c r="AE38" i="6"/>
  <c r="AE40" i="6"/>
  <c r="AF40" i="6"/>
  <c r="AF50" i="6"/>
  <c r="AE50" i="6"/>
  <c r="AF2" i="6"/>
  <c r="AE2" i="6"/>
  <c r="AF7" i="6"/>
  <c r="AE7" i="6"/>
  <c r="AF17" i="6"/>
  <c r="AE17" i="6"/>
  <c r="AF45" i="6"/>
  <c r="AE45" i="6"/>
  <c r="AF55" i="6"/>
  <c r="AE55" i="6"/>
  <c r="AF62" i="6"/>
  <c r="AE62" i="6"/>
  <c r="AF43" i="6"/>
  <c r="AE43" i="6"/>
  <c r="AE58" i="6"/>
  <c r="AE44" i="6"/>
  <c r="AE52" i="6"/>
  <c r="AE20" i="6"/>
  <c r="AE64" i="6"/>
  <c r="AE6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tc={D75BCB95-9C6F-9148-9E70-03AA420B38FE}</author>
    <author>tc={A81172FE-A188-DA49-8921-390BE97C7FBA}</author>
    <author>tc={B68A4240-4ACF-404D-A70B-1ADBBD456A6D}</author>
    <author>tc={D4168CC3-2153-4B40-94C9-5ACABBCB6DB7}</author>
    <author>tc={4C99690B-FB05-584F-A926-4F567E9BF7B6}</author>
    <author>tc={4A194D60-5A6D-3C43-B9BC-EC7553FD5E97}</author>
    <author>tc={63DA3A81-C244-B24C-8A38-F0FA5446743A}</author>
    <author>tc={3BE8C92F-3C29-3D4F-9CA5-C9B8934DAFB0}</author>
    <author>tc={5D221802-20BE-BC40-AED4-0C1C2F63DD84}</author>
    <author>tc={FC31E9C0-3D76-EC42-8706-3831071DD81C}</author>
    <author>tc={63157BF5-B3AC-0642-9DF7-AD278E05885A}</author>
    <author>tc={2A16913C-0E16-2B41-AEC1-89307B13CDE3}</author>
    <author>tc={51659841-E7AF-6245-906E-D6381388FDDB}</author>
    <author>tc={7C607BA0-EEDF-F444-B21D-F83B856521DA}</author>
    <author>tc={4D72C74E-ECC5-644A-BE4D-AF618A1D4DF4}</author>
    <author>tc={72C08366-4C46-3246-A1FE-F64AE4E14190}</author>
    <author>tc={F72E4FBE-2055-B440-860D-A0662762BEB7}</author>
    <author>tc={120D1781-EBCB-6E4E-8F8D-3A2E968F8DD6}</author>
    <author>tc={5C6D1CD5-DC66-2F4F-B2CE-6C6F80BC5D18}</author>
    <author>tc={0792CABC-9FC7-B64A-9295-48DFD6FFB64C}</author>
    <author>tc={BF6E7423-64F5-0D4E-8286-8BBB208411D7}</author>
    <author>tc={4BCDD7FD-8EC7-0F4F-B2E2-46441D31B4DD}</author>
    <author>tc={F0FC1F89-9F9C-074A-8772-316D13765D4A}</author>
    <author>tc={1BB542AF-22E9-3F44-91AF-9DFFA6D95B48}</author>
    <author>tc={50716293-B160-D54A-9556-D0B16A23AE0F}</author>
    <author>tc={F60F171F-74A0-4F4B-B452-F4392C8249BE}</author>
    <author>tc={4F14FF1B-F55E-8F48-8F91-6FC8BD714BEA}</author>
    <author>tc={286D5CFB-16E7-B947-B461-4D4F0E9E808A}</author>
    <author>tc={25BEA6E8-5F35-F24B-8717-B9D4E8465829}</author>
    <author>tc={606B3A79-83B1-2A4A-9332-021E3B1A46FE}</author>
    <author>tc={5225847F-3E01-0F4E-9897-68E77913E52E}</author>
    <author>tc={1BC32B6A-B566-2147-8555-4B4627CF7D5E}</author>
    <author>tc={7F38E3B2-7D85-304F-A63F-8C93DB6FD6C1}</author>
    <author>tc={765FA96F-7039-AF4A-938E-8E5B8D46A481}</author>
    <author>tc={6321B932-40A5-974F-AD85-34D40423CC43}</author>
    <author>tc={73F837B4-D5E0-C843-8864-5D004D0CAA71}</author>
    <author>tc={4D13C14C-3901-BB46-B561-1E7852D68FE1}</author>
    <author>tc={2646C24C-D2EE-114C-880D-04782EA3CE84}</author>
    <author>tc={74119315-6DD5-BB4C-A60D-4C4CC87CA41C}</author>
    <author>tc={794CF266-B1B4-B44B-9572-4758B643A924}</author>
    <author>tc={444C19AD-7F1E-1749-9A96-2F99955627BB}</author>
    <author>tc={F88A4C54-C4D2-1D40-AFE4-CFC47A5BC022}</author>
    <author>tc={831E5E5B-B339-3D4A-AD98-101702F6F813}</author>
    <author>tc={8C1C50B3-7083-014D-ACD4-80AF6C84894A}</author>
    <author>tc={3C3AB1DC-D57E-AF4A-B5D0-8E3BB1B05C6A}</author>
    <author>tc={59758139-15F2-8E40-B363-8263CA103671}</author>
    <author>tc={205E4086-057E-324A-8918-7E7F25C8FF4D}</author>
    <author>tc={BDF3BB79-E8E8-4944-993D-AD5AA7D8EAFF}</author>
    <author>tc={0C15204A-0BB2-364B-92E0-EF51076891A8}</author>
    <author>tc={F326D3B0-70C9-E940-B423-7A14B8E285A2}</author>
    <author>tc={03FBC635-3174-1442-85A0-1E6864ED53B3}</author>
    <author>tc={0EC1DEB5-539B-AA47-96F2-1EA55104F2C6}</author>
    <author>tc={030452E4-CBD1-CD4C-884F-F60038E87159}</author>
    <author>tc={53180F68-B770-6D4A-826B-A6828016A377}</author>
    <author>tc={0B36DF51-51EE-574C-AC4B-EC6D2FE9412E}</author>
    <author>tc={2FF67304-217B-764A-B2C7-7C5269B62949}</author>
    <author>tc={37D338F3-A6CA-3346-A01D-D9AD8A7E1BAD}</author>
    <author>tc={576A8637-6731-AF44-9924-EBA4F6AD6C48}</author>
    <author>tc={4E9DBC33-2211-5F49-8A31-8B7E0D7286E6}</author>
    <author>tc={B7540900-CD65-4A4F-9A5E-23D5D8C13688}</author>
    <author>tc={DDD079F7-A438-5A4D-A82B-6DD49F39565D}</author>
    <author>tc={CABA44D1-AA1D-AA44-9851-AD471F506B51}</author>
    <author>tc={5B86CF9E-6094-6847-9A37-140212BBC635}</author>
    <author>tc={BBAA0BC1-C48C-6144-9B46-83946DC1BB54}</author>
    <author>tc={56234628-615D-924E-A310-8D631DB80FD1}</author>
    <author>tc={1831BABA-0713-5A41-8C45-06CB5AED5206}</author>
    <author>tc={2EF15B1E-1D6D-3C40-812B-637059C8AA3D}</author>
    <author>tc={942BAA65-CD34-604D-9249-57B1DA793B8A}</author>
    <author>tc={B7219F47-D6CF-B24F-BB82-09E3877ECE35}</author>
    <author>tc={402E3FE3-F6E3-064D-83B9-FC4E3FA5AB31}</author>
    <author>tc={07D1129A-1997-F640-903D-C0A0FF1EF592}</author>
    <author>tc={1F2AEC54-CD04-314D-95E2-4A651CB248B1}</author>
    <author>tc={B6235C01-DA80-F742-BF38-F9B1D08E2D02}</author>
    <author>tc={4DACE8D9-34B3-D543-A351-31E2D76F0892}</author>
    <author>tc={5FE051A8-26C2-2948-9933-1685E3B7671A}</author>
    <author>tc={B4409CBF-9571-964F-8AD8-00208CA86705}</author>
    <author>tc={A963FB96-7366-9F4F-A167-F26A087D2C11}</author>
    <author>tc={E791832B-5865-2049-AFB0-89D7F5A8AF8E}</author>
    <author>tc={7ED12E14-7AB1-B24D-A099-41D3EE219C13}</author>
    <author>tc={2B931AE8-07FF-0744-8E9A-BA81CCA35193}</author>
  </authors>
  <commentList>
    <comment ref="AJ1" authorId="0" shapeId="0" xr:uid="{D75BCB95-9C6F-9148-9E70-03AA420B38FE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Range: 12,00-18,00</t>
      </text>
    </comment>
    <comment ref="AL1" authorId="1" shapeId="0" xr:uid="{A81172FE-A188-DA49-8921-390BE97C7FBA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Hematocrit
Range: 37,00-55,00</t>
      </text>
    </comment>
    <comment ref="AM1" authorId="2" shapeId="0" xr:uid="{B68A4240-4ACF-404D-A70B-1ADBBD456A6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Hematocrit</t>
      </text>
    </comment>
    <comment ref="AN1" authorId="3" shapeId="0" xr:uid="{D4168CC3-2153-4B40-94C9-5ACABBCB6DB7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The average concentration of haemoglobin within a red blood cell. It is an important indicator for anaemia.
Range: 31,60-38</t>
      </text>
    </comment>
    <comment ref="AP1" authorId="4" shapeId="0" xr:uid="{4C99690B-FB05-584F-A926-4F567E9BF7B6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It is a blood count parameter that measures the variation in the size (volume) of red blood cells. A high value (anisocytosis) indicates a lack of uniformity, often associated with anaemia (iron deficiency, B12 deficiency), whilst a normal value indicates uniformity in size.
Range: 10,00-15,00</t>
      </text>
    </comment>
    <comment ref="AR1" authorId="5" shapeId="0" xr:uid="{4A194D60-5A6D-3C43-B9BC-EC7553FD5E97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White cells number</t>
      </text>
    </comment>
    <comment ref="AS1" authorId="6" shapeId="0" xr:uid="{63DA3A81-C244-B24C-8A38-F0FA5446743A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White cells number</t>
      </text>
    </comment>
    <comment ref="AT1" authorId="7" shapeId="0" xr:uid="{3BE8C92F-3C29-3D4F-9CA5-C9B8934DAFB0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Neutrophils.
Range 55-75</t>
      </text>
    </comment>
    <comment ref="AU1" authorId="8" shapeId="0" xr:uid="{5D221802-20BE-BC40-AED4-0C1C2F63DD84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Neutrophils</t>
      </text>
    </comment>
    <comment ref="AV1" authorId="9" shapeId="0" xr:uid="{FC31E9C0-3D76-EC42-8706-3831071DD81C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Lymphocytes
Range 9-25</t>
      </text>
    </comment>
    <comment ref="AW1" authorId="10" shapeId="0" xr:uid="{63157BF5-B3AC-0642-9DF7-AD278E05885A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Lymphocytes</t>
      </text>
    </comment>
    <comment ref="AX1" authorId="11" shapeId="0" xr:uid="{2A16913C-0E16-2B41-AEC1-89307B13CDE3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Monocytes</t>
      </text>
    </comment>
    <comment ref="AY1" authorId="12" shapeId="0" xr:uid="{51659841-E7AF-6245-906E-D6381388FDDB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Monocytes</t>
      </text>
    </comment>
    <comment ref="AZ1" authorId="13" shapeId="0" xr:uid="{7C607BA0-EEDF-F444-B21D-F83B856521DA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Eosinophils
Range: 0-8</t>
      </text>
    </comment>
    <comment ref="BA1" authorId="14" shapeId="0" xr:uid="{4D72C74E-ECC5-644A-BE4D-AF618A1D4DF4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Eosinophils</t>
      </text>
    </comment>
    <comment ref="BB1" authorId="15" shapeId="0" xr:uid="{72C08366-4C46-3246-A1FE-F64AE4E14190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Range: 2,70-9,80</t>
      </text>
    </comment>
    <comment ref="BD1" authorId="16" shapeId="0" xr:uid="{F72E4FBE-2055-B440-860D-A0662762BEB7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Range 1,40-3,60</t>
      </text>
    </comment>
    <comment ref="BH1" authorId="17" shapeId="0" xr:uid="{120D1781-EBCB-6E4E-8F8D-3A2E968F8DD6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Range 0,00-0,70</t>
      </text>
    </comment>
    <comment ref="BJ1" authorId="18" shapeId="0" xr:uid="{5C6D1CD5-DC66-2F4F-B2CE-6C6F80BC5D1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Platelet range 150-450
Rispondi:
Piastrine
Range 150-450</t>
      </text>
    </comment>
    <comment ref="BK1" authorId="19" shapeId="0" xr:uid="{0792CABC-9FC7-B64A-9295-48DFD6FFB64C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Platelet range 150-450</t>
      </text>
    </comment>
    <comment ref="BL1" authorId="20" shapeId="0" xr:uid="{BF6E7423-64F5-0D4E-8286-8BBB208411D7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Average platelet size
Range 7,0-15,0</t>
      </text>
    </comment>
    <comment ref="BM1" authorId="21" shapeId="0" xr:uid="{4BCDD7FD-8EC7-0F4F-B2E2-46441D31B4D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Average platelet size: range 7,0-15,0</t>
      </text>
    </comment>
    <comment ref="BN1" authorId="22" shapeId="0" xr:uid="{F0FC1F89-9F9C-074A-8772-316D13765D4A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Volume of platelets in the blood: range 0,18-0,60</t>
      </text>
    </comment>
    <comment ref="BO1" authorId="23" shapeId="0" xr:uid="{1BB542AF-22E9-3F44-91AF-9DFFA6D95B4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Volume of platelets in the blood: range 0,18-0,60</t>
      </text>
    </comment>
    <comment ref="BP1" authorId="24" shapeId="0" xr:uid="{50716293-B160-D54A-9556-D0B16A23AE0F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Aspartate aminotransferase enzyme
Range 0-40</t>
      </text>
    </comment>
    <comment ref="BQ1" authorId="25" shapeId="0" xr:uid="{F60F171F-74A0-4F4B-B452-F4392C8249BE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Aspartate aminotransferase enzyme</t>
      </text>
    </comment>
    <comment ref="BR1" authorId="26" shapeId="0" xr:uid="{4F14FF1B-F55E-8F48-8F91-6FC8BD714BEA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Alanine Aminotransferase Enzyme
Range 0-70</t>
      </text>
    </comment>
    <comment ref="BS1" authorId="27" shapeId="0" xr:uid="{286D5CFB-16E7-B947-B461-4D4F0E9E808A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Alanine Aminotransferase Enzyme</t>
      </text>
    </comment>
    <comment ref="BT1" authorId="28" shapeId="0" xr:uid="{25BEA6E8-5F35-F24B-8717-B9D4E8465829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Bilirubin
Range 0,08-0,70</t>
      </text>
    </comment>
    <comment ref="BU1" authorId="29" shapeId="0" xr:uid="{606B3A79-83B1-2A4A-9332-021E3B1A46FE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Bilirubin</t>
      </text>
    </comment>
    <comment ref="BV1" authorId="30" shapeId="0" xr:uid="{5225847F-3E01-0F4E-9897-68E77913E52E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Blood Urea Nitrogen = Azotemia
Range 15,0-50,0</t>
      </text>
    </comment>
    <comment ref="BW1" authorId="31" shapeId="0" xr:uid="{1BC32B6A-B566-2147-8555-4B4627CF7D5E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Blood Urea Nitrogen = Azotemia</t>
      </text>
    </comment>
    <comment ref="BX1" authorId="32" shapeId="0" xr:uid="{7F38E3B2-7D85-304F-A63F-8C93DB6FD6C1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Range: 0,60-1,80</t>
      </text>
    </comment>
    <comment ref="CB1" authorId="33" shapeId="0" xr:uid="{765FA96F-7039-AF4A-938E-8E5B8D46A481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Range lavoro Giulia: 56-91</t>
      </text>
    </comment>
    <comment ref="CD1" authorId="34" shapeId="0" xr:uid="{6321B932-40A5-974F-AD85-34D40423CC43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Range: </t>
      </text>
    </comment>
    <comment ref="AB3" authorId="35" shapeId="0" xr:uid="{73F837B4-D5E0-C843-8864-5D004D0CAA71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Anestesia alle 11,35</t>
      </text>
    </comment>
    <comment ref="AG3" authorId="36" shapeId="0" xr:uid="{4D13C14C-3901-BB46-B561-1E7852D68FE1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Anestesia 9,50</t>
      </text>
    </comment>
    <comment ref="AT4" authorId="37" shapeId="0" xr:uid="{2646C24C-D2EE-114C-880D-04782EA3CE84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Neutrofili tossici</t>
      </text>
    </comment>
    <comment ref="AV4" authorId="38" shapeId="0" xr:uid="{74119315-6DD5-BB4C-A60D-4C4CC87CA41C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Linfociti attivati</t>
      </text>
    </comment>
    <comment ref="AG5" authorId="39" shapeId="0" xr:uid="{794CF266-B1B4-B44B-9572-4758B643A924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Anestesia 9,50</t>
      </text>
    </comment>
    <comment ref="AG6" authorId="40" shapeId="0" xr:uid="{444C19AD-7F1E-1749-9A96-2F99955627BB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Anestesia 10,20</t>
      </text>
    </comment>
    <comment ref="AG8" authorId="41" shapeId="0" xr:uid="{F88A4C54-C4D2-1D40-AFE4-CFC47A5BC022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First anesth. 10,58
Second anesth. 11,13</t>
      </text>
    </comment>
    <comment ref="CA8" authorId="42" shapeId="0" xr:uid="{831E5E5B-B339-3D4A-AD98-101702F6F813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C'è un errore. Con questo numero c'è il prelievo di Osvaldo e non di Grugno. Il microchip è di Osvaldo</t>
      </text>
    </comment>
    <comment ref="G10" authorId="43" shapeId="0" xr:uid="{8C1C50B3-7083-014D-ACD4-80AF6C84894A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Era semi-cosciente, non l'abbiamo potuto pesare</t>
      </text>
    </comment>
    <comment ref="AB10" authorId="44" shapeId="0" xr:uid="{3C3AB1DC-D57E-AF4A-B5D0-8E3BB1B05C6A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Anestesia alle 10,50</t>
      </text>
    </comment>
    <comment ref="AG10" authorId="45" shapeId="0" xr:uid="{59758139-15F2-8E40-B363-8263CA103671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Anestesia 11,00</t>
      </text>
    </comment>
    <comment ref="AB13" authorId="46" shapeId="0" xr:uid="{205E4086-057E-324A-8918-7E7F25C8FF4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Anestesia 9,45</t>
      </text>
    </comment>
    <comment ref="AB15" authorId="47" shapeId="0" xr:uid="{BDF3BB79-E8E8-4944-993D-AD5AA7D8EAFF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Anestesia 10,16</t>
      </text>
    </comment>
    <comment ref="AG15" authorId="48" shapeId="0" xr:uid="{0C15204A-0BB2-364B-92E0-EF51076891A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Anestesia 10,16</t>
      </text>
    </comment>
    <comment ref="AB21" authorId="49" shapeId="0" xr:uid="{F326D3B0-70C9-E940-B423-7A14B8E285A2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Anestesia 9,39</t>
      </text>
    </comment>
    <comment ref="AG21" authorId="50" shapeId="0" xr:uid="{03FBC635-3174-1442-85A0-1E6864ED53B3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First anest.10,35
Second anest. 11,10</t>
      </text>
    </comment>
    <comment ref="BJ23" authorId="51" shapeId="0" xr:uid="{0EC1DEB5-539B-AA47-96F2-1EA55104F2C6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Macropiastrine e aggregati piastrinici</t>
      </text>
    </comment>
    <comment ref="BJ27" authorId="52" shapeId="0" xr:uid="{030452E4-CBD1-CD4C-884F-F60038E87159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Presence of platelet aggregates</t>
      </text>
    </comment>
    <comment ref="AV28" authorId="53" shapeId="0" xr:uid="{53180F68-B770-6D4A-826B-A6828016A377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Linfociti attivati</t>
      </text>
    </comment>
    <comment ref="BJ28" authorId="54" shapeId="0" xr:uid="{0B36DF51-51EE-574C-AC4B-EC6D2FE9412E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Presence of platelet aggregates</t>
      </text>
    </comment>
    <comment ref="AB29" authorId="55" shapeId="0" xr:uid="{2FF67304-217B-764A-B2C7-7C5269B62949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Ora anestesia: 9,30</t>
      </text>
    </comment>
    <comment ref="AG29" authorId="56" shapeId="0" xr:uid="{37D338F3-A6CA-3346-A01D-D9AD8A7E1BA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Anesthesia 9,50 h</t>
      </text>
    </comment>
    <comment ref="BJ29" authorId="57" shapeId="0" xr:uid="{576A8637-6731-AF44-9924-EBA4F6AD6C4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Presence of platelet aggregates</t>
      </text>
    </comment>
    <comment ref="AB30" authorId="58" shapeId="0" xr:uid="{4E9DBC33-2211-5F49-8A31-8B7E0D7286E6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Anestesia 10.00</t>
      </text>
    </comment>
    <comment ref="AG30" authorId="59" shapeId="0" xr:uid="{B7540900-CD65-4A4F-9A5E-23D5D8C1368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Anestesia 10,30</t>
      </text>
    </comment>
    <comment ref="AB31" authorId="60" shapeId="0" xr:uid="{DDD079F7-A438-5A4D-A82B-6DD49F39565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Anestesia alle 11,19</t>
      </text>
    </comment>
    <comment ref="AV34" authorId="61" shapeId="0" xr:uid="{CABA44D1-AA1D-AA44-9851-AD471F506B51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Activated lymphocytes</t>
      </text>
    </comment>
    <comment ref="AH35" authorId="62" shapeId="0" xr:uid="{5B86CF9E-6094-6847-9A37-140212BBC63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Polychromacy</t>
      </text>
    </comment>
    <comment ref="M42" authorId="63" shapeId="0" xr:uid="{BBAA0BC1-C48C-6144-9B46-83946DC1BB54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Nel box c'è scritto 14/11/2021</t>
      </text>
    </comment>
    <comment ref="BX47" authorId="64" shapeId="0" xr:uid="{56234628-615D-924E-A310-8D631DB80FD1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Il laboratorio ha scritto "campione emolitico"</t>
      </text>
    </comment>
    <comment ref="AW48" authorId="65" shapeId="0" xr:uid="{1831BABA-0713-5A41-8C45-06CB5AED5206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Activated lymphocytes</t>
      </text>
    </comment>
    <comment ref="AB50" authorId="66" shapeId="0" xr:uid="{2EF15B1E-1D6D-3C40-812B-637059C8AA3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Anestesia 10,40</t>
      </text>
    </comment>
    <comment ref="AG50" authorId="67" shapeId="0" xr:uid="{942BAA65-CD34-604D-9249-57B1DA793B8A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Anestesia 10,15</t>
      </text>
    </comment>
    <comment ref="AO51" authorId="68" shapeId="0" xr:uid="{B7219F47-D6CF-B24F-BB82-09E3877ECE3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Presence of anisocytosis</t>
      </text>
    </comment>
    <comment ref="AB59" authorId="69" shapeId="0" xr:uid="{402E3FE3-F6E3-064D-83B9-FC4E3FA5AB31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Anestesia 11,03</t>
      </text>
    </comment>
    <comment ref="AG59" authorId="70" shapeId="0" xr:uid="{07D1129A-1997-F640-903D-C0A0FF1EF592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Anestesia: 10,15</t>
      </text>
    </comment>
    <comment ref="BK59" authorId="71" shapeId="0" xr:uid="{1F2AEC54-CD04-314D-95E2-4A651CB248B1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Presence of numerous platelet aggregates</t>
      </text>
    </comment>
    <comment ref="AB60" authorId="72" shapeId="0" xr:uid="{B6235C01-DA80-F742-BF38-F9B1D08E2D02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Anestesia 10,27</t>
      </text>
    </comment>
    <comment ref="AG60" authorId="73" shapeId="0" xr:uid="{4DACE8D9-34B3-D543-A351-31E2D76F0892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Anestesia 9,52</t>
      </text>
    </comment>
    <comment ref="AB62" authorId="74" shapeId="0" xr:uid="{5FE051A8-26C2-2948-9933-1685E3B7671A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Anestesia 10,20</t>
      </text>
    </comment>
    <comment ref="AG62" authorId="75" shapeId="0" xr:uid="{B4409CBF-9571-964F-8AD8-00208CA8670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Anestesia 11,10</t>
      </text>
    </comment>
    <comment ref="AB63" authorId="76" shapeId="0" xr:uid="{A963FB96-7366-9F4F-A167-F26A087D2C11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Anestesia 10,45</t>
      </text>
    </comment>
    <comment ref="AG63" authorId="77" shapeId="0" xr:uid="{E791832B-5865-2049-AFB0-89D7F5A8AF8E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Anestesia 10,36</t>
      </text>
    </comment>
    <comment ref="AB64" authorId="78" shapeId="0" xr:uid="{7ED12E14-7AB1-B24D-A099-41D3EE219C13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Prima anestesia 10,00; seconda anestesia 11,25</t>
      </text>
    </comment>
    <comment ref="AG64" authorId="79" shapeId="0" xr:uid="{2B931AE8-07FF-0744-8E9A-BA81CCA35193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Anestesia 9,58</t>
      </text>
    </comment>
  </commentList>
</comments>
</file>

<file path=xl/sharedStrings.xml><?xml version="1.0" encoding="utf-8"?>
<sst xmlns="http://schemas.openxmlformats.org/spreadsheetml/2006/main" count="788" uniqueCount="318">
  <si>
    <t>Box</t>
  </si>
  <si>
    <t>Dogs</t>
  </si>
  <si>
    <t>Dog ID</t>
  </si>
  <si>
    <t>Microchip</t>
  </si>
  <si>
    <t>Treatment</t>
  </si>
  <si>
    <t>Weight pre (kg)</t>
  </si>
  <si>
    <t>Weight post (kg)</t>
  </si>
  <si>
    <t>1_BCS Fat %</t>
  </si>
  <si>
    <t>2_BCS Fat %2</t>
  </si>
  <si>
    <t>Quantity of oil/day</t>
  </si>
  <si>
    <t>Behavioural problem</t>
  </si>
  <si>
    <t>Notes</t>
  </si>
  <si>
    <t>Date of birth</t>
  </si>
  <si>
    <t>Date of entrance</t>
  </si>
  <si>
    <t>Age at entrance (days)</t>
  </si>
  <si>
    <t>Sex</t>
  </si>
  <si>
    <t>Size</t>
  </si>
  <si>
    <t>Breed</t>
  </si>
  <si>
    <t>First video</t>
  </si>
  <si>
    <t>Permanence in shelter (days) to first observation</t>
  </si>
  <si>
    <t>Box conditions</t>
  </si>
  <si>
    <t>Reason of entrance</t>
  </si>
  <si>
    <t>Site of capture</t>
  </si>
  <si>
    <t>Neutering date</t>
  </si>
  <si>
    <t>Sanitary conditions at entrance</t>
  </si>
  <si>
    <t>Behavioural recording start</t>
  </si>
  <si>
    <t>1st Blood sample</t>
  </si>
  <si>
    <t>Time 1st blood sample</t>
  </si>
  <si>
    <t>Treatment start</t>
  </si>
  <si>
    <t>2nd Behavioural recording start</t>
  </si>
  <si>
    <t>End of treatment</t>
  </si>
  <si>
    <t>2nd Blood sample</t>
  </si>
  <si>
    <t>Time 2nd blood sample2</t>
  </si>
  <si>
    <t>1Red cells mil/µL</t>
  </si>
  <si>
    <t>2Red cells mil/µL2</t>
  </si>
  <si>
    <t>1Hemogl g/dL</t>
  </si>
  <si>
    <t>2Hemogl g/dL2</t>
  </si>
  <si>
    <t>1HCT %</t>
  </si>
  <si>
    <t>2HCT %2</t>
  </si>
  <si>
    <t>1MCHC</t>
  </si>
  <si>
    <t>2MCHC</t>
  </si>
  <si>
    <t>1RDW (%)</t>
  </si>
  <si>
    <t>2RDW (%)</t>
  </si>
  <si>
    <t>1WBC migliaia/µL</t>
  </si>
  <si>
    <t>2WBC migliaia/µL2</t>
  </si>
  <si>
    <t>1Neutr (%)</t>
  </si>
  <si>
    <t>2Neutr (%)</t>
  </si>
  <si>
    <t>1Lym %</t>
  </si>
  <si>
    <t>2Lym %2</t>
  </si>
  <si>
    <t>1Mon %</t>
  </si>
  <si>
    <t>2Mon %2</t>
  </si>
  <si>
    <t>1Eos %</t>
  </si>
  <si>
    <t>2Eos %2</t>
  </si>
  <si>
    <t>1Neu μL</t>
  </si>
  <si>
    <t>2Neu μL</t>
  </si>
  <si>
    <t>1Lym μL</t>
  </si>
  <si>
    <t>2Lym μL</t>
  </si>
  <si>
    <t>1Mon μL</t>
  </si>
  <si>
    <t>2Mon μL</t>
  </si>
  <si>
    <t>1Eos thous/μL</t>
  </si>
  <si>
    <t>2Eos thous/μL2</t>
  </si>
  <si>
    <t>1PLT thous/μL</t>
  </si>
  <si>
    <t>2PLT thous/μL2</t>
  </si>
  <si>
    <t>1MPV fL</t>
  </si>
  <si>
    <t>2MPV fL2</t>
  </si>
  <si>
    <t>1PCT %</t>
  </si>
  <si>
    <t>2PCT %2</t>
  </si>
  <si>
    <t>1GOT-AST</t>
  </si>
  <si>
    <t>2GOT-AST2</t>
  </si>
  <si>
    <t>1GPT-ALT</t>
  </si>
  <si>
    <t>2GPT-ALT2</t>
  </si>
  <si>
    <t>1Bil Tot</t>
  </si>
  <si>
    <t>2Bil Tot2</t>
  </si>
  <si>
    <t>1BUN</t>
  </si>
  <si>
    <t>2BUN2</t>
  </si>
  <si>
    <t>1Creatinin</t>
  </si>
  <si>
    <t>2Creatinin2</t>
  </si>
  <si>
    <t>1ID Diagnosis</t>
  </si>
  <si>
    <t>2ID Diagnosis2</t>
  </si>
  <si>
    <t>1dRoms U.CARR.</t>
  </si>
  <si>
    <t>2dRoms U.CARR.2</t>
  </si>
  <si>
    <t>1Oxy (umol HClO/ml)</t>
  </si>
  <si>
    <t>2Oxy (umol HClO/ml)2</t>
  </si>
  <si>
    <t>1dRoms/Oxy</t>
  </si>
  <si>
    <t>2dRoms/Oxy2</t>
  </si>
  <si>
    <t>1_cortisol ug/dl</t>
  </si>
  <si>
    <t>2_cortisol</t>
  </si>
  <si>
    <t>Leishmania/Erlichia</t>
  </si>
  <si>
    <t>Colonna1</t>
  </si>
  <si>
    <t>Apoquel</t>
  </si>
  <si>
    <t>4A</t>
  </si>
  <si>
    <t>Shakira</t>
  </si>
  <si>
    <t>Aggressive behaviour</t>
  </si>
  <si>
    <t>Female</t>
  </si>
  <si>
    <t>Large</t>
  </si>
  <si>
    <t>Mixed breed</t>
  </si>
  <si>
    <t>Alone</t>
  </si>
  <si>
    <t>Abandoned</t>
  </si>
  <si>
    <t>Ponte Mammolo, circoscr. V</t>
  </si>
  <si>
    <t xml:space="preserve">Good conditions </t>
  </si>
  <si>
    <t>&lt;0,09</t>
  </si>
  <si>
    <t>Negativo/non effettuato</t>
  </si>
  <si>
    <t>6A</t>
  </si>
  <si>
    <t>Coimbra</t>
  </si>
  <si>
    <t>Male</t>
  </si>
  <si>
    <t>Medium</t>
  </si>
  <si>
    <t>Pit Bull</t>
  </si>
  <si>
    <t>Biter</t>
  </si>
  <si>
    <t>Serafino, circoscr. XIII</t>
  </si>
  <si>
    <t>Good general conditions, but otitis associated with an othematoma of the right ear</t>
  </si>
  <si>
    <t>12A</t>
  </si>
  <si>
    <t>Otaria</t>
  </si>
  <si>
    <t>Medium/Large</t>
  </si>
  <si>
    <t>Neoformation at the entrance but no consequences</t>
  </si>
  <si>
    <t>22A</t>
  </si>
  <si>
    <t>Satollo</t>
  </si>
  <si>
    <t>Found injured</t>
  </si>
  <si>
    <t>Episcleral haemorrhage in left eye</t>
  </si>
  <si>
    <t>&lt;40</t>
  </si>
  <si>
    <t>30A</t>
  </si>
  <si>
    <t>Logan</t>
  </si>
  <si>
    <t>American Pitbull Terrier</t>
  </si>
  <si>
    <t>Owned biter</t>
  </si>
  <si>
    <t>31A</t>
  </si>
  <si>
    <t>Lizzie</t>
  </si>
  <si>
    <t>Fear</t>
  </si>
  <si>
    <t>Other animals biter</t>
  </si>
  <si>
    <t>Small/Medium</t>
  </si>
  <si>
    <t>Bited and killed another owned dog</t>
  </si>
  <si>
    <t>NE</t>
  </si>
  <si>
    <t>33A</t>
  </si>
  <si>
    <t>Grugno</t>
  </si>
  <si>
    <t>Left by the owner</t>
  </si>
  <si>
    <t>Negativo/negativo</t>
  </si>
  <si>
    <t>40A</t>
  </si>
  <si>
    <t>Bruno</t>
  </si>
  <si>
    <t>Stereotyped behaviour</t>
  </si>
  <si>
    <t>Caught free-ranging</t>
  </si>
  <si>
    <t>Via del Casal dei Pazzi, 94, circoscr. V</t>
  </si>
  <si>
    <t>Good conditions</t>
  </si>
  <si>
    <t>41A</t>
  </si>
  <si>
    <t>Zichity</t>
  </si>
  <si>
    <t>42A</t>
  </si>
  <si>
    <t>Norimberga</t>
  </si>
  <si>
    <t>Administrative seizure</t>
  </si>
  <si>
    <t>Via Prato della Corte 1915, circoscr. I</t>
  </si>
  <si>
    <t>NO</t>
  </si>
  <si>
    <t>60A</t>
  </si>
  <si>
    <t>Gara-Kelle</t>
  </si>
  <si>
    <t>62A</t>
  </si>
  <si>
    <t>Clint</t>
  </si>
  <si>
    <t>Turns around the doghouse</t>
  </si>
  <si>
    <t>64A</t>
  </si>
  <si>
    <t>Rambo</t>
  </si>
  <si>
    <t>70A</t>
  </si>
  <si>
    <t>Sbillo</t>
  </si>
  <si>
    <t>Via Balduina 175, circoscr. I</t>
  </si>
  <si>
    <t>data antecedente al primo ingresso</t>
  </si>
  <si>
    <t>Good conditions, trattament with fluoxetina</t>
  </si>
  <si>
    <t>80A</t>
  </si>
  <si>
    <t>Pandora</t>
  </si>
  <si>
    <t>Aggressive and stereotyped behaviour</t>
  </si>
  <si>
    <t>89A</t>
  </si>
  <si>
    <t>Athena</t>
  </si>
  <si>
    <t>90A</t>
  </si>
  <si>
    <t>Ramos</t>
  </si>
  <si>
    <t>Poor general condition, excessive thinness</t>
  </si>
  <si>
    <t>92A</t>
  </si>
  <si>
    <t>Sabatino</t>
  </si>
  <si>
    <t>Fear, anxiety</t>
  </si>
  <si>
    <t>94A</t>
  </si>
  <si>
    <t>Leone</t>
  </si>
  <si>
    <t>AM. STAFFORDSHRE TERRIER</t>
  </si>
  <si>
    <t>Good conditions, lameness</t>
  </si>
  <si>
    <t>102A</t>
  </si>
  <si>
    <t>Rocky</t>
  </si>
  <si>
    <t>Aggressive towards dogs</t>
  </si>
  <si>
    <t>Via Lamberto Fiammingo 31, circoscr. I</t>
  </si>
  <si>
    <t>103A</t>
  </si>
  <si>
    <t>Vecna</t>
  </si>
  <si>
    <t>Dubbio 1:80</t>
  </si>
  <si>
    <t>105A</t>
  </si>
  <si>
    <t>Blasco</t>
  </si>
  <si>
    <t>Lagotto Romagnolo</t>
  </si>
  <si>
    <t>117A</t>
  </si>
  <si>
    <t>Leopoldino</t>
  </si>
  <si>
    <t>Aggressive behaviour, fear</t>
  </si>
  <si>
    <t>Small</t>
  </si>
  <si>
    <t>124A</t>
  </si>
  <si>
    <t>Paulanka</t>
  </si>
  <si>
    <t>Sul box c'è scritto il nome Neige</t>
  </si>
  <si>
    <t>Maremman Shepherd</t>
  </si>
  <si>
    <t>GRA uscita Nomentana, circoscr. II</t>
  </si>
  <si>
    <t>Fairly good condition</t>
  </si>
  <si>
    <t>125A</t>
  </si>
  <si>
    <t>Morgana</t>
  </si>
  <si>
    <t>era insieme a  Pandora e Lazzo ma manca nel referto IZS</t>
  </si>
  <si>
    <t>128A</t>
  </si>
  <si>
    <t>Winter</t>
  </si>
  <si>
    <t>Tail self-mutilation</t>
  </si>
  <si>
    <t>135A</t>
  </si>
  <si>
    <t>Kelly</t>
  </si>
  <si>
    <t>aggressività, stereotipie</t>
  </si>
  <si>
    <t>hopping on its front legs</t>
  </si>
  <si>
    <t>141A</t>
  </si>
  <si>
    <t>Achille</t>
  </si>
  <si>
    <t>146A</t>
  </si>
  <si>
    <t>Draco</t>
  </si>
  <si>
    <t>147A</t>
  </si>
  <si>
    <t>Osvaldo</t>
  </si>
  <si>
    <t xml:space="preserve"> Mild swelling of the scrotum</t>
  </si>
  <si>
    <t>152A</t>
  </si>
  <si>
    <t>Geno</t>
  </si>
  <si>
    <t>ADG</t>
  </si>
  <si>
    <t>Via dei Monti di Pietralata, circoscr. V</t>
  </si>
  <si>
    <t>2B</t>
  </si>
  <si>
    <t>Vegas</t>
  </si>
  <si>
    <t>Stazione di Salone, circoscr. V</t>
  </si>
  <si>
    <t>Dubbio 1:40</t>
  </si>
  <si>
    <t>6B</t>
  </si>
  <si>
    <t>Kommander</t>
  </si>
  <si>
    <t>A DISPOSIZIONE DEL PROPRIETARIO</t>
  </si>
  <si>
    <t>NO?</t>
  </si>
  <si>
    <t>10B</t>
  </si>
  <si>
    <t>Dylan</t>
  </si>
  <si>
    <t>16B</t>
  </si>
  <si>
    <t>Leo</t>
  </si>
  <si>
    <t>22B</t>
  </si>
  <si>
    <t>Keta</t>
  </si>
  <si>
    <t>Rottweiler</t>
  </si>
  <si>
    <t>30B</t>
  </si>
  <si>
    <t>Volt</t>
  </si>
  <si>
    <t>Not alone</t>
  </si>
  <si>
    <t>Via Molfetta, circoscr. V</t>
  </si>
  <si>
    <t>34B</t>
  </si>
  <si>
    <t>Giordano</t>
  </si>
  <si>
    <t>Taken because of an eviction</t>
  </si>
  <si>
    <t>40B</t>
  </si>
  <si>
    <t>Wilson</t>
  </si>
  <si>
    <t>Cane Corso</t>
  </si>
  <si>
    <t>RICERCA PROPRIETARIO</t>
  </si>
  <si>
    <t>41B</t>
  </si>
  <si>
    <t>Bayles</t>
  </si>
  <si>
    <t>Jumps</t>
  </si>
  <si>
    <t>Good conditions, positivity for giardia</t>
  </si>
  <si>
    <t>48B</t>
  </si>
  <si>
    <t>Rugantino</t>
  </si>
  <si>
    <t>49B</t>
  </si>
  <si>
    <t>Lazzo</t>
  </si>
  <si>
    <t>Turn on itself</t>
  </si>
  <si>
    <t>54B</t>
  </si>
  <si>
    <t>Psi</t>
  </si>
  <si>
    <t>German Shepherd</t>
  </si>
  <si>
    <t>79B</t>
  </si>
  <si>
    <t>Margot</t>
  </si>
  <si>
    <t>Biter (ex-owner Testadiferro)</t>
  </si>
  <si>
    <t>80B</t>
  </si>
  <si>
    <t>Machete</t>
  </si>
  <si>
    <t>83B</t>
  </si>
  <si>
    <t>Jeckyll</t>
  </si>
  <si>
    <t>Barks, turns on itself</t>
  </si>
  <si>
    <t>91B</t>
  </si>
  <si>
    <t>Dino</t>
  </si>
  <si>
    <t>Aggressive, stereotyped behaviour and turns on itself</t>
  </si>
  <si>
    <t>106B</t>
  </si>
  <si>
    <t>Nerchio</t>
  </si>
  <si>
    <t>112B</t>
  </si>
  <si>
    <t>Spank</t>
  </si>
  <si>
    <t>116B</t>
  </si>
  <si>
    <t>Duke</t>
  </si>
  <si>
    <t>Obviously underweight</t>
  </si>
  <si>
    <t>118B</t>
  </si>
  <si>
    <t>Bongo</t>
  </si>
  <si>
    <t>Aggressive behaviour/fear</t>
  </si>
  <si>
    <t>Mixed breed (der. Dogo)</t>
  </si>
  <si>
    <t>Via del Muro Linari 31, circoscr. V</t>
  </si>
  <si>
    <t>Fair general condition, giardia positive</t>
  </si>
  <si>
    <t>134B</t>
  </si>
  <si>
    <t>Zizu</t>
  </si>
  <si>
    <t>136B</t>
  </si>
  <si>
    <t>Faustino</t>
  </si>
  <si>
    <t>140B</t>
  </si>
  <si>
    <t>Bottone</t>
  </si>
  <si>
    <t>Other</t>
  </si>
  <si>
    <t>142B</t>
  </si>
  <si>
    <t>Zeus</t>
  </si>
  <si>
    <t>licking bars</t>
  </si>
  <si>
    <t>144B</t>
  </si>
  <si>
    <t>Bryan/Rintintin</t>
  </si>
  <si>
    <t>152B</t>
  </si>
  <si>
    <t>Schettino</t>
  </si>
  <si>
    <t>Good conditions, dermatitis and self-inflicted injuries on the cage door</t>
  </si>
  <si>
    <t>23C</t>
  </si>
  <si>
    <t>Sonio</t>
  </si>
  <si>
    <t>Comune di Roma</t>
  </si>
  <si>
    <t>Via Prato Lauro 11, circoscr. V</t>
  </si>
  <si>
    <t>35C</t>
  </si>
  <si>
    <t>Red</t>
  </si>
  <si>
    <t>Alla seconda anestesia, fare sterilizzazione</t>
  </si>
  <si>
    <t>Via Prassagura, circoscr. XIII</t>
  </si>
  <si>
    <t>42C</t>
  </si>
  <si>
    <t>Tyson</t>
  </si>
  <si>
    <t>Wary</t>
  </si>
  <si>
    <t>Mixed breed, der. German Shepherd</t>
  </si>
  <si>
    <t>Via Francesco D'Isa 15, circoscr. I</t>
  </si>
  <si>
    <t>?</t>
  </si>
  <si>
    <t>53C</t>
  </si>
  <si>
    <t>Eufemio</t>
  </si>
  <si>
    <t>Via Roberto Bracco 59, circoscr. XV</t>
  </si>
  <si>
    <t>56C</t>
  </si>
  <si>
    <t>Grido</t>
  </si>
  <si>
    <t>Via Pio Pasquini, circoscr. XIII</t>
  </si>
  <si>
    <t>79C</t>
  </si>
  <si>
    <t>Reiky</t>
  </si>
  <si>
    <t>Via Collatina, circoscr. V</t>
  </si>
  <si>
    <t>Good conditions, dermatitis</t>
  </si>
  <si>
    <t>non ancora presente</t>
  </si>
  <si>
    <t>N0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</si>
</sst>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"/>
  </numFmts>
  <fonts count="14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1"/>
      <color theme="0"/>
      <name val="Arial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"/>
      <family val="2"/>
    </font>
    <font>
      <sz val="12"/>
      <name val="Calibri"/>
      <family val="2"/>
      <scheme val="minor"/>
    </font>
    <font>
      <sz val="12"/>
      <color rgb="FF00B0F0"/>
      <name val="Calibri"/>
      <family val="2"/>
      <scheme val="minor"/>
    </font>
    <font>
      <sz val="12"/>
      <name val="Calibri (Corpo)"/>
    </font>
    <font>
      <sz val="12"/>
      <name val="Calibri"/>
      <family val="2"/>
    </font>
    <font>
      <sz val="10"/>
      <name val="Verdana"/>
      <family val="2"/>
    </font>
    <font>
      <sz val="12"/>
      <color rgb="FF000000"/>
      <name val="Calibri"/>
      <family val="2"/>
      <scheme val="minor"/>
    </font>
    <font>
      <sz val="10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0" xfId="0" applyFont="1"/>
    <xf numFmtId="1" fontId="2" fillId="0" borderId="0" xfId="0" applyNumberFormat="1" applyFont="1"/>
    <xf numFmtId="14" fontId="2" fillId="0" borderId="0" xfId="0" applyNumberFormat="1" applyFont="1"/>
    <xf numFmtId="14" fontId="0" fillId="0" borderId="0" xfId="0" applyNumberFormat="1"/>
    <xf numFmtId="14" fontId="0" fillId="2" borderId="0" xfId="0" applyNumberFormat="1" applyFill="1"/>
    <xf numFmtId="0" fontId="7" fillId="0" borderId="0" xfId="0" applyFont="1"/>
    <xf numFmtId="1" fontId="7" fillId="0" borderId="0" xfId="0" applyNumberFormat="1" applyFon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2" fontId="7" fillId="0" borderId="0" xfId="0" applyNumberFormat="1" applyFont="1"/>
    <xf numFmtId="1" fontId="7" fillId="0" borderId="0" xfId="0" applyNumberFormat="1" applyFont="1" applyAlignment="1">
      <alignment horizontal="right" vertical="center"/>
    </xf>
    <xf numFmtId="2" fontId="5" fillId="0" borderId="0" xfId="0" applyNumberFormat="1" applyFont="1"/>
    <xf numFmtId="1" fontId="5" fillId="0" borderId="0" xfId="0" applyNumberFormat="1" applyFont="1"/>
    <xf numFmtId="1" fontId="8" fillId="0" borderId="0" xfId="0" applyNumberFormat="1" applyFont="1"/>
    <xf numFmtId="2" fontId="8" fillId="0" borderId="0" xfId="0" applyNumberFormat="1" applyFont="1"/>
    <xf numFmtId="165" fontId="7" fillId="0" borderId="0" xfId="0" applyNumberFormat="1" applyFont="1"/>
    <xf numFmtId="0" fontId="0" fillId="0" borderId="0" xfId="0" applyAlignment="1">
      <alignment horizontal="right"/>
    </xf>
    <xf numFmtId="2" fontId="2" fillId="0" borderId="0" xfId="0" applyNumberFormat="1" applyFont="1" applyAlignment="1">
      <alignment horizontal="right"/>
    </xf>
    <xf numFmtId="0" fontId="9" fillId="0" borderId="0" xfId="0" applyFont="1"/>
    <xf numFmtId="2" fontId="7" fillId="2" borderId="0" xfId="0" applyNumberFormat="1" applyFont="1" applyFill="1"/>
    <xf numFmtId="0" fontId="9" fillId="0" borderId="0" xfId="0" applyFont="1" applyAlignment="1">
      <alignment horizontal="right"/>
    </xf>
    <xf numFmtId="2" fontId="12" fillId="0" borderId="1" xfId="0" applyNumberFormat="1" applyFont="1" applyBorder="1"/>
    <xf numFmtId="0" fontId="3" fillId="0" borderId="0" xfId="0" applyFont="1"/>
    <xf numFmtId="1" fontId="3" fillId="0" borderId="0" xfId="0" applyNumberFormat="1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14" fontId="3" fillId="0" borderId="0" xfId="0" applyNumberFormat="1" applyFont="1"/>
    <xf numFmtId="2" fontId="3" fillId="0" borderId="0" xfId="0" applyNumberFormat="1" applyFont="1"/>
    <xf numFmtId="0" fontId="3" fillId="0" borderId="0" xfId="0" applyFont="1" applyAlignment="1">
      <alignment horizontal="right"/>
    </xf>
    <xf numFmtId="0" fontId="2" fillId="5" borderId="0" xfId="0" applyFont="1" applyFill="1"/>
    <xf numFmtId="1" fontId="2" fillId="5" borderId="0" xfId="0" applyNumberFormat="1" applyFont="1" applyFill="1"/>
    <xf numFmtId="2" fontId="2" fillId="6" borderId="0" xfId="0" applyNumberFormat="1" applyFont="1" applyFill="1"/>
    <xf numFmtId="0" fontId="1" fillId="5" borderId="0" xfId="0" applyFont="1" applyFill="1"/>
    <xf numFmtId="14" fontId="2" fillId="5" borderId="0" xfId="0" applyNumberFormat="1" applyFont="1" applyFill="1"/>
    <xf numFmtId="14" fontId="1" fillId="5" borderId="0" xfId="0" applyNumberFormat="1" applyFont="1" applyFill="1"/>
    <xf numFmtId="2" fontId="1" fillId="5" borderId="0" xfId="0" applyNumberFormat="1" applyFont="1" applyFill="1" applyAlignment="1">
      <alignment horizontal="right"/>
    </xf>
    <xf numFmtId="14" fontId="0" fillId="5" borderId="0" xfId="0" applyNumberFormat="1" applyFill="1"/>
    <xf numFmtId="2" fontId="0" fillId="5" borderId="0" xfId="0" applyNumberFormat="1" applyFill="1"/>
    <xf numFmtId="1" fontId="0" fillId="5" borderId="0" xfId="0" applyNumberFormat="1" applyFill="1"/>
    <xf numFmtId="1" fontId="5" fillId="5" borderId="0" xfId="0" applyNumberFormat="1" applyFont="1" applyFill="1"/>
    <xf numFmtId="165" fontId="0" fillId="5" borderId="0" xfId="0" applyNumberFormat="1" applyFill="1"/>
    <xf numFmtId="1" fontId="0" fillId="6" borderId="0" xfId="0" applyNumberFormat="1" applyFill="1"/>
    <xf numFmtId="1" fontId="7" fillId="5" borderId="0" xfId="0" applyNumberFormat="1" applyFont="1" applyFill="1"/>
    <xf numFmtId="1" fontId="5" fillId="6" borderId="0" xfId="0" applyNumberFormat="1" applyFont="1" applyFill="1"/>
    <xf numFmtId="165" fontId="7" fillId="5" borderId="0" xfId="0" applyNumberFormat="1" applyFont="1" applyFill="1"/>
    <xf numFmtId="165" fontId="7" fillId="6" borderId="0" xfId="0" applyNumberFormat="1" applyFont="1" applyFill="1"/>
    <xf numFmtId="2" fontId="7" fillId="5" borderId="0" xfId="0" applyNumberFormat="1" applyFont="1" applyFill="1"/>
    <xf numFmtId="0" fontId="1" fillId="6" borderId="0" xfId="0" applyFont="1" applyFill="1" applyAlignment="1">
      <alignment horizontal="right"/>
    </xf>
    <xf numFmtId="0" fontId="1" fillId="5" borderId="0" xfId="0" applyFont="1" applyFill="1" applyAlignment="1">
      <alignment horizontal="right"/>
    </xf>
    <xf numFmtId="0" fontId="1" fillId="2" borderId="0" xfId="0" applyFont="1" applyFill="1"/>
    <xf numFmtId="0" fontId="1" fillId="0" borderId="0" xfId="0" applyFont="1"/>
    <xf numFmtId="2" fontId="2" fillId="0" borderId="0" xfId="0" applyNumberFormat="1" applyFont="1"/>
    <xf numFmtId="14" fontId="1" fillId="2" borderId="0" xfId="0" applyNumberFormat="1" applyFont="1" applyFill="1"/>
    <xf numFmtId="0" fontId="5" fillId="0" borderId="0" xfId="0" applyFont="1"/>
    <xf numFmtId="0" fontId="0" fillId="3" borderId="0" xfId="0" applyFill="1"/>
    <xf numFmtId="165" fontId="5" fillId="0" borderId="0" xfId="0" applyNumberFormat="1" applyFont="1"/>
    <xf numFmtId="14" fontId="1" fillId="0" borderId="0" xfId="0" applyNumberFormat="1" applyFont="1"/>
    <xf numFmtId="2" fontId="7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/>
    </xf>
    <xf numFmtId="0" fontId="6" fillId="0" borderId="0" xfId="0" applyFont="1"/>
    <xf numFmtId="2" fontId="1" fillId="0" borderId="0" xfId="0" applyNumberFormat="1" applyFont="1" applyAlignment="1">
      <alignment horizontal="right"/>
    </xf>
    <xf numFmtId="2" fontId="1" fillId="0" borderId="0" xfId="0" applyNumberFormat="1" applyFont="1"/>
    <xf numFmtId="1" fontId="1" fillId="0" borderId="0" xfId="0" applyNumberFormat="1" applyFont="1"/>
    <xf numFmtId="1" fontId="0" fillId="3" borderId="0" xfId="0" applyNumberFormat="1" applyFill="1"/>
    <xf numFmtId="1" fontId="0" fillId="7" borderId="0" xfId="0" applyNumberFormat="1" applyFill="1"/>
    <xf numFmtId="1" fontId="5" fillId="0" borderId="0" xfId="0" applyNumberFormat="1" applyFont="1" applyAlignment="1">
      <alignment horizontal="right" vertical="center"/>
    </xf>
    <xf numFmtId="1" fontId="0" fillId="4" borderId="0" xfId="0" applyNumberFormat="1" applyFill="1"/>
    <xf numFmtId="14" fontId="7" fillId="0" borderId="0" xfId="0" applyNumberFormat="1" applyFont="1"/>
    <xf numFmtId="2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" fontId="10" fillId="0" borderId="0" xfId="0" applyNumberFormat="1" applyFont="1"/>
    <xf numFmtId="14" fontId="10" fillId="0" borderId="0" xfId="0" applyNumberFormat="1" applyFont="1"/>
    <xf numFmtId="0" fontId="11" fillId="0" borderId="0" xfId="0" applyFont="1" applyAlignment="1">
      <alignment horizontal="right"/>
    </xf>
    <xf numFmtId="0" fontId="11" fillId="0" borderId="0" xfId="0" applyFont="1"/>
    <xf numFmtId="165" fontId="7" fillId="0" borderId="0" xfId="0" applyNumberFormat="1" applyFont="1" applyAlignment="1">
      <alignment vertical="center"/>
    </xf>
    <xf numFmtId="2" fontId="0" fillId="0" borderId="0" xfId="0" applyNumberFormat="1" applyAlignment="1">
      <alignment horizontal="right"/>
    </xf>
    <xf numFmtId="165" fontId="2" fillId="0" borderId="0" xfId="0" applyNumberFormat="1" applyFont="1"/>
    <xf numFmtId="2" fontId="7" fillId="3" borderId="0" xfId="0" applyNumberFormat="1" applyFont="1" applyFill="1"/>
    <xf numFmtId="1" fontId="1" fillId="3" borderId="0" xfId="0" applyNumberFormat="1" applyFont="1" applyFill="1"/>
    <xf numFmtId="1" fontId="7" fillId="3" borderId="0" xfId="0" applyNumberFormat="1" applyFont="1" applyFill="1" applyAlignment="1">
      <alignment horizontal="left" vertical="center"/>
    </xf>
    <xf numFmtId="1" fontId="7" fillId="3" borderId="0" xfId="0" applyNumberFormat="1" applyFont="1" applyFill="1"/>
    <xf numFmtId="14" fontId="6" fillId="0" borderId="0" xfId="0" applyNumberFormat="1" applyFont="1"/>
    <xf numFmtId="165" fontId="1" fillId="0" borderId="0" xfId="0" applyNumberFormat="1" applyFont="1"/>
    <xf numFmtId="164" fontId="2" fillId="0" borderId="0" xfId="0" applyNumberFormat="1" applyFont="1" applyAlignment="1">
      <alignment horizontal="right"/>
    </xf>
    <xf numFmtId="2" fontId="10" fillId="0" borderId="0" xfId="0" applyNumberFormat="1" applyFont="1" applyAlignment="1">
      <alignment horizontal="right"/>
    </xf>
    <xf numFmtId="12" fontId="2" fillId="0" borderId="0" xfId="0" applyNumberFormat="1" applyFont="1"/>
  </cellXfs>
  <cellStyles count="1">
    <cellStyle name="Normale" xfId="0" builtinId="0"/>
  </cellStyles>
  <dxfs count="87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2" formatCode="0.00"/>
    </dxf>
    <dxf>
      <font>
        <strike val="0"/>
        <outline val="0"/>
        <shadow val="0"/>
        <u val="none"/>
        <vertAlign val="baseline"/>
        <sz val="12"/>
        <color auto="1"/>
      </font>
      <numFmt numFmtId="1" formatCode="0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[$-F400]h:mm:ss\ AM/PM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none"/>
      </font>
      <fill>
        <patternFill patternType="none">
          <fgColor indexed="64"/>
          <bgColor theme="8" tint="-0.249977111117893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ugenia Maurizia Natoli" id="{A0F95307-25EC-2442-A941-AE575FCB639B}" userId="c5f30d5461f83911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A55C2B-42AC-B644-88D9-31C1F9390EDD}" name="DogSample3" displayName="DogSample3" ref="A1:CL64" totalsRowShown="0" headerRowDxfId="86">
  <autoFilter ref="A1:CL64" xr:uid="{C3A55C2B-42AC-B644-88D9-31C1F9390EDD}"/>
  <tableColumns count="90">
    <tableColumn id="1" xr3:uid="{95420B68-6055-8E41-8995-69BB953CD9C0}" name="Box" dataDxfId="85"/>
    <tableColumn id="8" xr3:uid="{49239F21-C76F-6548-9CFE-26CBFC33D265}" name="Dogs" dataDxfId="84"/>
    <tableColumn id="2" xr3:uid="{176CBDD2-859F-A74A-AE0B-6EFBC45639C1}" name="Dog ID" dataDxfId="83"/>
    <tableColumn id="3" xr3:uid="{B99AECA4-996D-BC4E-8D4B-2FB3C90C5531}" name="Microchip" dataDxfId="82"/>
    <tableColumn id="4" xr3:uid="{3BF17233-0ED8-6B4A-99B1-8EE7F0D85D49}" name="Treatment" dataDxfId="81"/>
    <tableColumn id="5" xr3:uid="{B1E4F4B4-030C-C34A-B563-37944992471D}" name="Weight pre (kg)" dataDxfId="80"/>
    <tableColumn id="58" xr3:uid="{D5BF39DF-EC2D-FC48-8498-739E156BBA71}" name="Weight post (kg)" dataDxfId="79"/>
    <tableColumn id="28" xr3:uid="{E4D962C3-D7C6-2F44-8CA3-67914012AE1E}" name="1_BCS Fat %" dataDxfId="78"/>
    <tableColumn id="35" xr3:uid="{8DE04D12-5DFF-5D41-BFA8-5B9E8D987570}" name="2_BCS Fat %2" dataDxfId="77"/>
    <tableColumn id="6" xr3:uid="{7DDD86D4-998C-FE4E-ACDE-C24762E56C8E}" name="Quantity of oil/day">
      <calculatedColumnFormula>DogSample3[[#This Row],[Weight pre (kg)]]*4.5/50</calculatedColumnFormula>
    </tableColumn>
    <tableColumn id="7" xr3:uid="{252D1EC7-6439-FB47-AC67-61B47AE64B4A}" name="Behavioural problem" dataDxfId="76"/>
    <tableColumn id="9" xr3:uid="{F53EA4AA-FF8D-6743-901B-221380103F4B}" name="Notes" dataDxfId="75"/>
    <tableColumn id="10" xr3:uid="{436E9973-E990-AB45-B959-986FAF647C68}" name="Date of birth" dataDxfId="74"/>
    <tableColumn id="11" xr3:uid="{BB19F9BA-4B63-A741-8AA1-CE6E0B946B91}" name="Date of entrance" dataDxfId="73"/>
    <tableColumn id="12" xr3:uid="{6E6AF948-6E02-0348-8EA4-BE1B8AFDBBB1}" name="Age at entrance (days)" dataDxfId="72">
      <calculatedColumnFormula>DATEDIF(M2,N2,"d")</calculatedColumnFormula>
    </tableColumn>
    <tableColumn id="13" xr3:uid="{DF54E782-C099-F043-8D3A-B03160B95A33}" name="Sex" dataDxfId="71"/>
    <tableColumn id="14" xr3:uid="{7DF5BD8A-2C1A-9C4F-97E2-360B7A754C6F}" name="Size" dataDxfId="70"/>
    <tableColumn id="16" xr3:uid="{500DDE86-A0D1-764A-82C6-A3B0BD3F9F7E}" name="Breed" dataDxfId="69"/>
    <tableColumn id="15" xr3:uid="{66CDEC93-452D-5F4C-97CC-56A73DB212A5}" name="First video" dataDxfId="68"/>
    <tableColumn id="17" xr3:uid="{4EFD4689-2DA9-4C47-A3E4-DC6698EAB189}" name="Permanence in shelter (days) to first observation" dataDxfId="67">
      <calculatedColumnFormula>DATEDIF(N2,S2,"d")</calculatedColumnFormula>
    </tableColumn>
    <tableColumn id="18" xr3:uid="{0EB0C0B7-406B-6C4A-9D2D-BD2B20B56AC0}" name="Box conditions" dataDxfId="66"/>
    <tableColumn id="19" xr3:uid="{A3535A38-2DBF-8540-9617-E20F7C6372AE}" name="Reason of entrance" dataDxfId="65"/>
    <tableColumn id="40" xr3:uid="{7C0D8887-E949-0E40-A5F6-A87B16296033}" name="Site of capture" dataDxfId="64"/>
    <tableColumn id="20" xr3:uid="{EDE0ED77-9286-E841-99E0-3576BE4A1BAA}" name="Neutering date" dataDxfId="63"/>
    <tableColumn id="21" xr3:uid="{0C6530D5-B771-9B47-A2BE-7ED961E01C7F}" name="Sanitary conditions at entrance" dataDxfId="62"/>
    <tableColumn id="22" xr3:uid="{7887CAEC-8B7E-DF40-B18D-C299ACF69791}" name="Behavioural recording start" dataDxfId="61"/>
    <tableColumn id="23" xr3:uid="{D1568DA7-9826-E84F-B28C-C5B8C9E4E2C9}" name="1st Blood sample" dataDxfId="60">
      <calculatedColumnFormula>DogSample3[[#This Row],[Behavioural recording start]]+5</calculatedColumnFormula>
    </tableColumn>
    <tableColumn id="30" xr3:uid="{D352F521-3B4A-224C-8D84-32DB0B841E7D}" name="Time 1st blood sample" dataDxfId="59"/>
    <tableColumn id="24" xr3:uid="{4E09D9FD-DDA2-9647-AF87-BF90901AFE17}" name="Treatment start" dataDxfId="58">
      <calculatedColumnFormula>DogSample3[[#This Row],[1st Blood sample]]+1</calculatedColumnFormula>
    </tableColumn>
    <tableColumn id="25" xr3:uid="{50C5C7F6-7E4D-E342-97F9-AA7E5CEA40BF}" name="2nd Behavioural recording start" dataDxfId="57">
      <calculatedColumnFormula>DogSample3[[#This Row],[Treatment start]]+40</calculatedColumnFormula>
    </tableColumn>
    <tableColumn id="27" xr3:uid="{0326093A-9C8E-4147-B648-61A520756FE3}" name="End of treatment" dataDxfId="56">
      <calculatedColumnFormula>DogSample3[[#This Row],[2nd Behavioural recording start]]+5</calculatedColumnFormula>
    </tableColumn>
    <tableColumn id="26" xr3:uid="{ED052C09-CA07-EC4E-9BAF-B82A24012609}" name="2nd Blood sample" dataDxfId="55">
      <calculatedColumnFormula>DogSample3[[#This Row],[2nd Behavioural recording start]]+5</calculatedColumnFormula>
    </tableColumn>
    <tableColumn id="91" xr3:uid="{0175E776-6C28-EF46-9D10-3CA0A28AC665}" name="Time 2nd blood sample2" dataDxfId="54"/>
    <tableColumn id="39" xr3:uid="{233BD921-D4B8-454F-8A17-CEABCF096E3E}" name="1Red cells mil/µL" dataDxfId="53"/>
    <tableColumn id="59" xr3:uid="{295F2FD8-6390-8C47-81B2-0CDD43A4622F}" name="2Red cells mil/µL2" dataDxfId="52"/>
    <tableColumn id="38" xr3:uid="{D381F049-C1FA-964A-9FE2-F4CFFCC70EEB}" name="1Hemogl g/dL" dataDxfId="51"/>
    <tableColumn id="60" xr3:uid="{BBB99B69-FE90-7544-8D71-032A231781C1}" name="2Hemogl g/dL2" dataDxfId="50"/>
    <tableColumn id="37" xr3:uid="{92E43505-D09C-2243-823C-C11FC200D044}" name="1HCT %" dataDxfId="49"/>
    <tableColumn id="61" xr3:uid="{6465013B-55D7-2C46-8D89-3CC185432B30}" name="2HCT %2" dataDxfId="48"/>
    <tableColumn id="88" xr3:uid="{059C73D3-3B40-3249-9C70-1A075625A13E}" name="1MCHC" dataDxfId="47"/>
    <tableColumn id="87" xr3:uid="{7C656EF6-B320-C344-93D0-8C01D56701F9}" name="2MCHC" dataDxfId="46"/>
    <tableColumn id="92" xr3:uid="{9BC5674B-A946-7D4D-B3B1-AD68D8B5AC13}" name="1RDW (%)" dataDxfId="45"/>
    <tableColumn id="99" xr3:uid="{8365D3B5-966F-0641-9F65-392CB6DBBAC7}" name="2RDW (%)" dataDxfId="44"/>
    <tableColumn id="36" xr3:uid="{AE72B0DF-DC95-1242-BC81-AEB67C68B41C}" name="1WBC migliaia/µL" dataDxfId="43"/>
    <tableColumn id="63" xr3:uid="{57338736-D3C5-154A-8E8D-334CFBB84646}" name="2WBC migliaia/µL2" dataDxfId="42"/>
    <tableColumn id="34" xr3:uid="{2B3E5F82-4329-954F-A916-9C0930274957}" name="1Neutr (%)" dataDxfId="41"/>
    <tableColumn id="65" xr3:uid="{7BB1049A-673A-6543-9504-F20936BA95AC}" name="2Neutr (%)" dataDxfId="40"/>
    <tableColumn id="43" xr3:uid="{D7D13B6D-934B-A946-B68D-B1CDE94F850B}" name="1Lym %" dataDxfId="39"/>
    <tableColumn id="66" xr3:uid="{A0E88219-3DAD-4343-8D1E-BC5EB11FA3B4}" name="2Lym %2" dataDxfId="38"/>
    <tableColumn id="42" xr3:uid="{9DA2D7FD-6D0A-ED4F-A6A1-A68709F73160}" name="1Mon %" dataDxfId="37"/>
    <tableColumn id="67" xr3:uid="{B69B38A6-B1B1-2F42-A720-37D0E4EF052F}" name="2Mon %2" dataDxfId="36"/>
    <tableColumn id="41" xr3:uid="{7FBFBBB5-D5AF-7545-9086-F916D218CBA0}" name="1Eos %" dataDxfId="35"/>
    <tableColumn id="68" xr3:uid="{D0883EFA-0DA0-3F4A-87CE-CDC34C3FCA4E}" name="2Eos %2" dataDxfId="34"/>
    <tableColumn id="47" xr3:uid="{8CADBFE3-1D42-854F-893B-0DDA8A7FF58B}" name="1Neu μL" dataDxfId="33"/>
    <tableColumn id="70" xr3:uid="{CF7081E5-361A-E044-8C6B-F20239BC3182}" name="2Neu μL" dataDxfId="32"/>
    <tableColumn id="46" xr3:uid="{DB665AFA-E0D2-3F4F-8F03-08A4124B8E3C}" name="1Lym μL" dataDxfId="31"/>
    <tableColumn id="71" xr3:uid="{21BF8EB4-F6A2-2E46-943A-DF0B42845798}" name="2Lym μL" dataDxfId="30"/>
    <tableColumn id="45" xr3:uid="{568B706D-EE8A-1A4C-8665-AAAC94F23B33}" name="1Mon μL" dataDxfId="29"/>
    <tableColumn id="72" xr3:uid="{1DCD9742-89CD-D644-AA83-C2B63A40A668}" name="2Mon μL" dataDxfId="28"/>
    <tableColumn id="44" xr3:uid="{7202E358-A84E-5546-B33F-01DB7EB9EA9D}" name="1Eos thous/μL" dataDxfId="27"/>
    <tableColumn id="73" xr3:uid="{C80F1F99-E0B7-DC4E-B60B-3F53D2E4E20F}" name="2Eos thous/μL2" dataDxfId="26"/>
    <tableColumn id="50" xr3:uid="{BDE048D4-7DBA-8545-A97F-2B75437468E0}" name="1PLT thous/μL" dataDxfId="25"/>
    <tableColumn id="74" xr3:uid="{F8053BBD-F698-3D4C-B652-C8CF385D7EE7}" name="2PLT thous/μL2" dataDxfId="24"/>
    <tableColumn id="49" xr3:uid="{92B4FD38-F93D-6342-BE84-55D25AB34875}" name="1MPV fL" dataDxfId="23"/>
    <tableColumn id="75" xr3:uid="{4B317863-82E9-3746-A268-1A14805150CC}" name="2MPV fL2" dataDxfId="22"/>
    <tableColumn id="48" xr3:uid="{25102DBF-E103-F34D-9755-DC8AEF98C87C}" name="1PCT %" dataDxfId="21"/>
    <tableColumn id="76" xr3:uid="{A2B98B5D-84E1-BB48-BA98-2960776FFBF4}" name="2PCT %2" dataDxfId="20"/>
    <tableColumn id="51" xr3:uid="{51F4357C-5178-D344-8746-FA9512699EB7}" name="1GOT-AST" dataDxfId="19"/>
    <tableColumn id="78" xr3:uid="{51D40327-0DAE-5446-BA62-E8C43BDAAA58}" name="2GOT-AST2" dataDxfId="18"/>
    <tableColumn id="56" xr3:uid="{3A6E9F0A-390A-BC4F-A839-7368E434DDB2}" name="1GPT-ALT" dataDxfId="17"/>
    <tableColumn id="79" xr3:uid="{22149658-352B-5140-9682-BB70550450D5}" name="2GPT-ALT2" dataDxfId="16"/>
    <tableColumn id="55" xr3:uid="{96EF5729-6F72-F749-911D-CDFF8C35190A}" name="1Bil Tot" dataDxfId="15"/>
    <tableColumn id="80" xr3:uid="{C3967E7C-6111-514E-9BBE-B1C92323A180}" name="2Bil Tot2" dataDxfId="14"/>
    <tableColumn id="54" xr3:uid="{87C6D375-CFD9-EF4C-A6B1-53454DEA72F8}" name="1BUN" dataDxfId="13"/>
    <tableColumn id="81" xr3:uid="{5A281EF2-FDAB-DE41-B1D0-98E59A278B7D}" name="2BUN2" dataDxfId="12"/>
    <tableColumn id="53" xr3:uid="{721CB635-5127-9E4C-97FD-367D5AF24A8F}" name="1Creatinin" dataDxfId="11"/>
    <tableColumn id="82" xr3:uid="{AD1D1133-0979-6148-99C9-90E02CAD2AFF}" name="2Creatinin2" dataDxfId="10"/>
    <tableColumn id="32" xr3:uid="{5C0CBDC9-7BBE-324B-B950-074C58A23B6C}" name="1ID Diagnosis" dataDxfId="9"/>
    <tableColumn id="83" xr3:uid="{48C268F6-FF37-B24A-9B75-5CBB526A6577}" name="2ID Diagnosis2" dataDxfId="8"/>
    <tableColumn id="31" xr3:uid="{E1BA3B03-0007-F946-A730-31C9F70FFAA5}" name="1dRoms U.CARR." dataDxfId="7"/>
    <tableColumn id="84" xr3:uid="{EC70278D-5464-0F41-8360-265909C35F61}" name="2dRoms U.CARR.2" dataDxfId="6"/>
    <tableColumn id="29" xr3:uid="{3E7DC130-FDE0-A740-8DF8-6CC38F00BC82}" name="1Oxy (umol HClO/ml)" dataDxfId="5"/>
    <tableColumn id="85" xr3:uid="{068653B7-3FFF-7848-8117-37DA099125A0}" name="2Oxy (umol HClO/ml)2" dataDxfId="4"/>
    <tableColumn id="33" xr3:uid="{7C6FD5D6-47A7-C640-887F-C15EAAFCBEC3}" name="1dRoms/Oxy" dataDxfId="3">
      <calculatedColumnFormula>(CB2/CD2)</calculatedColumnFormula>
    </tableColumn>
    <tableColumn id="86" xr3:uid="{72C3247D-9C41-B447-A8B5-218BCB76FB1D}" name="2dRoms/Oxy2" dataDxfId="2">
      <calculatedColumnFormula>(CC2/CE2)</calculatedColumnFormula>
    </tableColumn>
    <tableColumn id="94" xr3:uid="{980EB764-54E3-6949-8808-F9EDB0C1B9F1}" name="1_cortisol ug/dl" dataDxfId="1"/>
    <tableColumn id="95" xr3:uid="{84CA6161-DBD9-AD47-A44C-B2B0F1A4E99C}" name="2_cortisol" dataDxfId="0"/>
    <tableColumn id="64" xr3:uid="{70D2EBF7-2423-DE4D-89E8-8AB762B24928}" name="Leishmania/Erlichia"/>
    <tableColumn id="69" xr3:uid="{37EDFBA8-E1EE-3B40-95EE-7FCBF00DCFC3}" name="Colonna1"/>
    <tableColumn id="96" xr3:uid="{F2ABE3E9-C38E-004A-8BDD-9BE01238E8CE}" name="Apoqu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J1" dT="2026-01-28T16:51:40.93" personId="{A0F95307-25EC-2442-A941-AE575FCB639B}" id="{D75BCB95-9C6F-9148-9E70-03AA420B38FE}">
    <text>Range: 12,00-18,00</text>
  </threadedComment>
  <threadedComment ref="AL1" dT="2025-11-30T18:23:22.91" personId="{A0F95307-25EC-2442-A941-AE575FCB639B}" id="{A81172FE-A188-DA49-8921-390BE97C7FBA}">
    <text>Hematocrit
Range: 37,00-55,00</text>
  </threadedComment>
  <threadedComment ref="AM1" dT="2025-11-30T18:23:22.91" personId="{A0F95307-25EC-2442-A941-AE575FCB639B}" id="{B68A4240-4ACF-404D-A70B-1ADBBD456A6D}">
    <text>Hematocrit</text>
  </threadedComment>
  <threadedComment ref="AN1" dT="2025-12-20T17:49:10.79" personId="{A0F95307-25EC-2442-A941-AE575FCB639B}" id="{D4168CC3-2153-4B40-94C9-5ACABBCB6DB7}">
    <text>The average concentration of haemoglobin within a red blood cell. It is an important indicator for anaemia.
Range: 31,60-38</text>
  </threadedComment>
  <threadedComment ref="AP1" dT="2026-01-23T19:11:37.93" personId="{A0F95307-25EC-2442-A941-AE575FCB639B}" id="{4C99690B-FB05-584F-A926-4F567E9BF7B6}">
    <text>It is a blood count parameter that measures the variation in the size (volume) of red blood cells. A high value (anisocytosis) indicates a lack of uniformity, often associated with anaemia (iron deficiency, B12 deficiency), whilst a normal value indicates uniformity in size.
Range: 10,00-15,00</text>
  </threadedComment>
  <threadedComment ref="AR1" dT="2025-11-30T18:26:21.94" personId="{A0F95307-25EC-2442-A941-AE575FCB639B}" id="{4A194D60-5A6D-3C43-B9BC-EC7553FD5E97}">
    <text>White cells number</text>
  </threadedComment>
  <threadedComment ref="AS1" dT="2025-11-30T18:26:21.94" personId="{A0F95307-25EC-2442-A941-AE575FCB639B}" id="{63DA3A81-C244-B24C-8A38-F0FA5446743A}">
    <text>White cells number</text>
  </threadedComment>
  <threadedComment ref="AT1" dT="2025-11-30T18:30:10.91" personId="{A0F95307-25EC-2442-A941-AE575FCB639B}" id="{3BE8C92F-3C29-3D4F-9CA5-C9B8934DAFB0}">
    <text>Neutrophils.
Range 55-75</text>
  </threadedComment>
  <threadedComment ref="AU1" dT="2025-11-30T18:30:10.91" personId="{A0F95307-25EC-2442-A941-AE575FCB639B}" id="{5D221802-20BE-BC40-AED4-0C1C2F63DD84}">
    <text>Neutrophils</text>
  </threadedComment>
  <threadedComment ref="AV1" dT="2025-11-30T18:40:17.64" personId="{A0F95307-25EC-2442-A941-AE575FCB639B}" id="{FC31E9C0-3D76-EC42-8706-3831071DD81C}">
    <text>Lymphocytes
Range 9-25</text>
  </threadedComment>
  <threadedComment ref="AW1" dT="2025-11-30T18:40:17.64" personId="{A0F95307-25EC-2442-A941-AE575FCB639B}" id="{63157BF5-B3AC-0642-9DF7-AD278E05885A}">
    <text>Lymphocytes</text>
  </threadedComment>
  <threadedComment ref="AX1" dT="2025-11-30T18:56:13.18" personId="{A0F95307-25EC-2442-A941-AE575FCB639B}" id="{2A16913C-0E16-2B41-AEC1-89307B13CDE3}">
    <text>Monocytes</text>
  </threadedComment>
  <threadedComment ref="AY1" dT="2025-11-30T18:56:13.18" personId="{A0F95307-25EC-2442-A941-AE575FCB639B}" id="{51659841-E7AF-6245-906E-D6381388FDDB}">
    <text>Monocytes</text>
  </threadedComment>
  <threadedComment ref="AZ1" dT="2025-11-30T18:57:20.35" personId="{A0F95307-25EC-2442-A941-AE575FCB639B}" id="{7C607BA0-EEDF-F444-B21D-F83B856521DA}">
    <text>Eosinophils
Range: 0-8</text>
  </threadedComment>
  <threadedComment ref="BA1" dT="2025-11-30T18:57:20.35" personId="{A0F95307-25EC-2442-A941-AE575FCB639B}" id="{4D72C74E-ECC5-644A-BE4D-AF618A1D4DF4}">
    <text>Eosinophils</text>
  </threadedComment>
  <threadedComment ref="BB1" dT="2026-05-01T08:58:02.65" personId="{A0F95307-25EC-2442-A941-AE575FCB639B}" id="{72C08366-4C46-3246-A1FE-F64AE4E14190}">
    <text>Range: 2,70-9,80</text>
  </threadedComment>
  <threadedComment ref="BD1" dT="2026-01-10T12:07:06.27" personId="{A0F95307-25EC-2442-A941-AE575FCB639B}" id="{F72E4FBE-2055-B440-860D-A0662762BEB7}">
    <text>Range 1,40-3,60</text>
  </threadedComment>
  <threadedComment ref="BH1" dT="2026-01-10T12:09:20.93" personId="{A0F95307-25EC-2442-A941-AE575FCB639B}" id="{120D1781-EBCB-6E4E-8F8D-3A2E968F8DD6}">
    <text>Range 0,00-0,70</text>
  </threadedComment>
  <threadedComment ref="BJ1" dT="2025-11-30T19:05:08.40" personId="{A0F95307-25EC-2442-A941-AE575FCB639B}" id="{5C6D1CD5-DC66-2F4F-B2CE-6C6F80BC5D18}">
    <text>Platelet range 150-450</text>
  </threadedComment>
  <threadedComment ref="BJ1" dT="2026-01-10T12:10:18.75" personId="{A0F95307-25EC-2442-A941-AE575FCB639B}" id="{9D4ED366-CD7F-1B49-89C4-A29BF544B263}" parentId="{5C6D1CD5-DC66-2F4F-B2CE-6C6F80BC5D18}">
    <text>Piastrine
Range 150-450</text>
  </threadedComment>
  <threadedComment ref="BK1" dT="2025-11-30T19:05:08.40" personId="{A0F95307-25EC-2442-A941-AE575FCB639B}" id="{0792CABC-9FC7-B64A-9295-48DFD6FFB64C}">
    <text>Platelet range 150-450</text>
  </threadedComment>
  <threadedComment ref="BL1" dT="2025-11-30T19:05:48.12" personId="{A0F95307-25EC-2442-A941-AE575FCB639B}" id="{BF6E7423-64F5-0D4E-8286-8BBB208411D7}">
    <text>Average platelet size
Range 7,0-15,0</text>
  </threadedComment>
  <threadedComment ref="BM1" dT="2025-11-30T19:05:48.12" personId="{A0F95307-25EC-2442-A941-AE575FCB639B}" id="{4BCDD7FD-8EC7-0F4F-B2E2-46441D31B4DD}">
    <text>Average platelet size: range 7,0-15,0</text>
  </threadedComment>
  <threadedComment ref="BN1" dT="2025-11-30T19:09:40.13" personId="{A0F95307-25EC-2442-A941-AE575FCB639B}" id="{F0FC1F89-9F9C-074A-8772-316D13765D4A}">
    <text>Volume of platelets in the blood: range 0,18-0,60</text>
  </threadedComment>
  <threadedComment ref="BO1" dT="2025-11-30T19:09:40.13" personId="{A0F95307-25EC-2442-A941-AE575FCB639B}" id="{1BB542AF-22E9-3F44-91AF-9DFFA6D95B48}">
    <text>Volume of platelets in the blood: range 0,18-0,60</text>
  </threadedComment>
  <threadedComment ref="BP1" dT="2025-11-30T19:37:32.53" personId="{A0F95307-25EC-2442-A941-AE575FCB639B}" id="{50716293-B160-D54A-9556-D0B16A23AE0F}">
    <text>Aspartate aminotransferase enzyme
Range 0-40</text>
  </threadedComment>
  <threadedComment ref="BQ1" dT="2025-11-30T19:37:32.53" personId="{A0F95307-25EC-2442-A941-AE575FCB639B}" id="{F60F171F-74A0-4F4B-B452-F4392C8249BE}">
    <text>Aspartate aminotransferase enzyme</text>
  </threadedComment>
  <threadedComment ref="BR1" dT="2025-11-30T19:39:38.94" personId="{A0F95307-25EC-2442-A941-AE575FCB639B}" id="{4F14FF1B-F55E-8F48-8F91-6FC8BD714BEA}">
    <text>Alanine Aminotransferase Enzyme
Range 0-70</text>
  </threadedComment>
  <threadedComment ref="BS1" dT="2025-11-30T19:39:38.94" personId="{A0F95307-25EC-2442-A941-AE575FCB639B}" id="{286D5CFB-16E7-B947-B461-4D4F0E9E808A}">
    <text>Alanine Aminotransferase Enzyme</text>
  </threadedComment>
  <threadedComment ref="BT1" dT="2025-11-30T19:19:14.35" personId="{A0F95307-25EC-2442-A941-AE575FCB639B}" id="{25BEA6E8-5F35-F24B-8717-B9D4E8465829}">
    <text>Bilirubin
Range 0,08-0,70</text>
  </threadedComment>
  <threadedComment ref="BU1" dT="2025-11-30T19:19:14.35" personId="{A0F95307-25EC-2442-A941-AE575FCB639B}" id="{606B3A79-83B1-2A4A-9332-021E3B1A46FE}">
    <text>Bilirubin</text>
  </threadedComment>
  <threadedComment ref="BV1" dT="2025-11-30T19:18:34.43" personId="{A0F95307-25EC-2442-A941-AE575FCB639B}" id="{5225847F-3E01-0F4E-9897-68E77913E52E}">
    <text>Blood Urea Nitrogen = Azotemia
Range 15,0-50,0</text>
  </threadedComment>
  <threadedComment ref="BW1" dT="2025-11-30T19:18:34.43" personId="{A0F95307-25EC-2442-A941-AE575FCB639B}" id="{1BC32B6A-B566-2147-8555-4B4627CF7D5E}">
    <text>Blood Urea Nitrogen = Azotemia</text>
  </threadedComment>
  <threadedComment ref="BX1" dT="2026-05-01T08:43:24.26" personId="{A0F95307-25EC-2442-A941-AE575FCB639B}" id="{7F38E3B2-7D85-304F-A63F-8C93DB6FD6C1}">
    <text>Range: 0,60-1,80</text>
  </threadedComment>
  <threadedComment ref="CB1" dT="2026-01-28T17:48:04.78" personId="{A0F95307-25EC-2442-A941-AE575FCB639B}" id="{765FA96F-7039-AF4A-938E-8E5B8D46A481}">
    <text>Range lavoro Giulia: 56-91</text>
  </threadedComment>
  <threadedComment ref="CD1" dT="2026-01-28T17:52:50.78" personId="{A0F95307-25EC-2442-A941-AE575FCB639B}" id="{6321B932-40A5-974F-AD85-34D40423CC43}">
    <text xml:space="preserve">Range: </text>
  </threadedComment>
  <threadedComment ref="AB3" dT="2026-03-19T16:47:01.55" personId="{A0F95307-25EC-2442-A941-AE575FCB639B}" id="{73F837B4-D5E0-C843-8864-5D004D0CAA71}">
    <text>Anestesia alle 11,35</text>
  </threadedComment>
  <threadedComment ref="AG3" dT="2026-05-06T10:54:23.62" personId="{A0F95307-25EC-2442-A941-AE575FCB639B}" id="{4D13C14C-3901-BB46-B561-1E7852D68FE1}">
    <text>Anestesia 9,50</text>
  </threadedComment>
  <threadedComment ref="AT4" dT="2026-05-07T11:21:57.19" personId="{A0F95307-25EC-2442-A941-AE575FCB639B}" id="{2646C24C-D2EE-114C-880D-04782EA3CE84}">
    <text>Neutrofili tossici</text>
  </threadedComment>
  <threadedComment ref="AV4" dT="2026-05-07T11:21:26.68" personId="{A0F95307-25EC-2442-A941-AE575FCB639B}" id="{74119315-6DD5-BB4C-A60D-4C4CC87CA41C}">
    <text>Linfociti attivati</text>
  </threadedComment>
  <threadedComment ref="AG5" dT="2026-04-03T09:06:20.46" personId="{A0F95307-25EC-2442-A941-AE575FCB639B}" id="{794CF266-B1B4-B44B-9572-4758B643A924}">
    <text>Anestesia 9,50</text>
  </threadedComment>
  <threadedComment ref="AG6" dT="2026-03-30T16:03:47.40" personId="{A0F95307-25EC-2442-A941-AE575FCB639B}" id="{444C19AD-7F1E-1749-9A96-2F99955627BB}">
    <text>Anestesia 10,20</text>
  </threadedComment>
  <threadedComment ref="AG8" dT="2026-05-11T10:41:51.61" personId="{A0F95307-25EC-2442-A941-AE575FCB639B}" id="{F88A4C54-C4D2-1D40-AFE4-CFC47A5BC022}">
    <text>First anesth. 10,58
Second anesth. 11,13</text>
  </threadedComment>
  <threadedComment ref="CA8" dT="2026-06-03T16:02:24.62" personId="{A0F95307-25EC-2442-A941-AE575FCB639B}" id="{831E5E5B-B339-3D4A-AD98-101702F6F813}">
    <text>C'è un errore. Con questo numero c'è il prelievo di Osvaldo e non di Grugno. Il microchip è di Osvaldo</text>
  </threadedComment>
  <threadedComment ref="G10" dT="2026-01-28T16:56:35.48" personId="{A0F95307-25EC-2442-A941-AE575FCB639B}" id="{8C1C50B3-7083-014D-ACD4-80AF6C84894A}">
    <text>Era semi-cosciente, non l'abbiamo potuto pesare</text>
  </threadedComment>
  <threadedComment ref="AB10" dT="2025-12-15T11:46:23.38" personId="{A0F95307-25EC-2442-A941-AE575FCB639B}" id="{3C3AB1DC-D57E-AF4A-B5D0-8E3BB1B05C6A}">
    <text>Anestesia alle 10,50</text>
  </threadedComment>
  <threadedComment ref="AG10" dT="2026-01-28T16:57:24.11" personId="{A0F95307-25EC-2442-A941-AE575FCB639B}" id="{59758139-15F2-8E40-B363-8263CA103671}">
    <text>Anestesia 11,00</text>
  </threadedComment>
  <threadedComment ref="AB13" dT="2026-04-02T10:08:31.65" personId="{A0F95307-25EC-2442-A941-AE575FCB639B}" id="{205E4086-057E-324A-8918-7E7F25C8FF4D}">
    <text>Anestesia 9,45</text>
  </threadedComment>
  <threadedComment ref="AB15" dT="2026-03-30T16:27:54.69" personId="{A0F95307-25EC-2442-A941-AE575FCB639B}" id="{BDF3BB79-E8E8-4944-993D-AD5AA7D8EAFF}">
    <text>Anestesia 10,16</text>
  </threadedComment>
  <threadedComment ref="AG15" dT="2026-05-11T10:37:35.78" personId="{A0F95307-25EC-2442-A941-AE575FCB639B}" id="{0C15204A-0BB2-364B-92E0-EF51076891A8}">
    <text>Anestesia 10,16</text>
  </threadedComment>
  <threadedComment ref="AB21" dT="2026-03-19T16:50:54.45" personId="{A0F95307-25EC-2442-A941-AE575FCB639B}" id="{F326D3B0-70C9-E940-B423-7A14B8E285A2}">
    <text>Anestesia 9,39</text>
  </threadedComment>
  <threadedComment ref="AG21" dT="2026-05-06T10:52:01.89" personId="{A0F95307-25EC-2442-A941-AE575FCB639B}" id="{03FBC635-3174-1442-85A0-1E6864ED53B3}">
    <text>First anest.10,35
Second anest. 11,10</text>
  </threadedComment>
  <threadedComment ref="BJ23" dT="2026-01-12T11:14:06.88" personId="{A0F95307-25EC-2442-A941-AE575FCB639B}" id="{0EC1DEB5-539B-AA47-96F2-1EA55104F2C6}">
    <text>Macropiastrine e aggregati piastrinici</text>
  </threadedComment>
  <threadedComment ref="BJ27" dT="2026-05-04T14:57:35.52" personId="{A0F95307-25EC-2442-A941-AE575FCB639B}" id="{030452E4-CBD1-CD4C-884F-F60038E87159}">
    <text>Presence of platelet aggregates</text>
  </threadedComment>
  <threadedComment ref="AV28" dT="2026-05-08T10:51:29.62" personId="{A0F95307-25EC-2442-A941-AE575FCB639B}" id="{53180F68-B770-6D4A-826B-A6828016A377}">
    <text>Linfociti attivati</text>
  </threadedComment>
  <threadedComment ref="BJ28" dT="2026-04-01T15:02:21.45" personId="{A0F95307-25EC-2442-A941-AE575FCB639B}" id="{0B36DF51-51EE-574C-AC4B-EC6D2FE9412E}">
    <text>Presence of platelet aggregates</text>
  </threadedComment>
  <threadedComment ref="AB29" dT="2026-01-30T19:05:59.21" personId="{A0F95307-25EC-2442-A941-AE575FCB639B}" id="{2FF67304-217B-764A-B2C7-7C5269B62949}">
    <text>Ora anestesia: 9,30</text>
  </threadedComment>
  <threadedComment ref="AG29" dT="2026-03-17T10:56:49.88" personId="{A0F95307-25EC-2442-A941-AE575FCB639B}" id="{37D338F3-A6CA-3346-A01D-D9AD8A7E1BAD}">
    <text>Anesthesia 9,50 h</text>
  </threadedComment>
  <threadedComment ref="BJ29" dT="2026-05-08T10:55:21.66" personId="{A0F95307-25EC-2442-A941-AE575FCB639B}" id="{576A8637-6731-AF44-9924-EBA4F6AD6C48}">
    <text>Presence of platelet aggregates</text>
  </threadedComment>
  <threadedComment ref="AB30" dT="2026-04-27T20:22:38.53" personId="{A0F95307-25EC-2442-A941-AE575FCB639B}" id="{4E9DBC33-2211-5F49-8A31-8B7E0D7286E6}">
    <text>Anestesia 10.00</text>
  </threadedComment>
  <threadedComment ref="AG30" dT="2026-06-12T20:03:18.16" personId="{A0F95307-25EC-2442-A941-AE575FCB639B}" id="{B7540900-CD65-4A4F-9A5E-23D5D8C13688}">
    <text>Anestesia 10,30</text>
  </threadedComment>
  <threadedComment ref="AB31" dT="2026-04-24T11:45:35.01" personId="{A0F95307-25EC-2442-A941-AE575FCB639B}" id="{DDD079F7-A438-5A4D-A82B-6DD49F39565D}">
    <text>Anestesia alle 11,19</text>
  </threadedComment>
  <threadedComment ref="AV34" dT="2026-05-08T11:00:16.46" personId="{A0F95307-25EC-2442-A941-AE575FCB639B}" id="{CABA44D1-AA1D-AA44-9851-AD471F506B51}">
    <text>Activated lymphocytes</text>
  </threadedComment>
  <threadedComment ref="AH35" dT="2026-05-08T11:05:47.91" personId="{A0F95307-25EC-2442-A941-AE575FCB639B}" id="{5B86CF9E-6094-6847-9A37-140212BBC635}">
    <text>Polychromacy</text>
  </threadedComment>
  <threadedComment ref="M42" dT="2026-02-20T14:58:13.11" personId="{A0F95307-25EC-2442-A941-AE575FCB639B}" id="{BBAA0BC1-C48C-6144-9B46-83946DC1BB54}">
    <text>Nel box c'è scritto 14/11/2021</text>
  </threadedComment>
  <threadedComment ref="BX47" dT="2026-02-20T16:13:07.99" personId="{A0F95307-25EC-2442-A941-AE575FCB639B}" id="{56234628-615D-924E-A310-8D631DB80FD1}">
    <text>Il laboratorio ha scritto "campione emolitico"</text>
  </threadedComment>
  <threadedComment ref="AW48" dT="2026-03-30T16:42:56.63" personId="{A0F95307-25EC-2442-A941-AE575FCB639B}" id="{1831BABA-0713-5A41-8C45-06CB5AED5206}">
    <text>Activated lymphocytes</text>
  </threadedComment>
  <threadedComment ref="AB50" dT="2025-12-22T12:16:58.53" personId="{A0F95307-25EC-2442-A941-AE575FCB639B}" id="{2EF15B1E-1D6D-3C40-812B-637059C8AA3D}">
    <text>Anestesia 10,40</text>
  </threadedComment>
  <threadedComment ref="AG50" dT="2026-01-28T16:49:00.39" personId="{A0F95307-25EC-2442-A941-AE575FCB639B}" id="{942BAA65-CD34-604D-9249-57B1DA793B8A}">
    <text>Anestesia 10,15</text>
  </threadedComment>
  <threadedComment ref="AO51" dT="2026-05-19T22:03:42.56" personId="{A0F95307-25EC-2442-A941-AE575FCB639B}" id="{B7219F47-D6CF-B24F-BB82-09E3877ECE35}">
    <text>Presence of anisocytosis</text>
  </threadedComment>
  <threadedComment ref="AB59" dT="2026-04-20T10:38:47.73" personId="{A0F95307-25EC-2442-A941-AE575FCB639B}" id="{402E3FE3-F6E3-064D-83B9-FC4E3FA5AB31}">
    <text>Anestesia 11,03</text>
  </threadedComment>
  <threadedComment ref="AG59" dT="2026-06-04T09:51:10.05" personId="{A0F95307-25EC-2442-A941-AE575FCB639B}" id="{07D1129A-1997-F640-903D-C0A0FF1EF592}">
    <text>Anestesia: 10,15</text>
  </threadedComment>
  <threadedComment ref="BK59" dT="2026-06-06T15:20:59.15" personId="{A0F95307-25EC-2442-A941-AE575FCB639B}" id="{1F2AEC54-CD04-314D-95E2-4A651CB248B1}">
    <text>Presence of numerous platelet aggregates</text>
  </threadedComment>
  <threadedComment ref="AB60" dT="2026-04-20T10:39:45.11" personId="{A0F95307-25EC-2442-A941-AE575FCB639B}" id="{B6235C01-DA80-F742-BF38-F9B1D08E2D02}">
    <text>Anestesia 10,27</text>
  </threadedComment>
  <threadedComment ref="AG60" dT="2026-06-04T09:42:55.13" personId="{A0F95307-25EC-2442-A941-AE575FCB639B}" id="{4DACE8D9-34B3-D543-A351-31E2D76F0892}">
    <text>Anestesia 9,52</text>
  </threadedComment>
  <threadedComment ref="AB62" dT="2026-04-21T18:15:35.91" personId="{A0F95307-25EC-2442-A941-AE575FCB639B}" id="{5FE051A8-26C2-2948-9933-1685E3B7671A}">
    <text>Anestesia 10,20</text>
  </threadedComment>
  <threadedComment ref="AG62" dT="2026-06-06T13:34:31.76" personId="{A0F95307-25EC-2442-A941-AE575FCB639B}" id="{B4409CBF-9571-964F-8AD8-00208CA86705}">
    <text>Anestesia 11,10</text>
  </threadedComment>
  <threadedComment ref="AB63" dT="2026-04-21T18:16:02.69" personId="{A0F95307-25EC-2442-A941-AE575FCB639B}" id="{A963FB96-7366-9F4F-A167-F26A087D2C11}">
    <text>Anestesia 10,45</text>
  </threadedComment>
  <threadedComment ref="AG63" dT="2026-06-06T13:32:20.36" personId="{A0F95307-25EC-2442-A941-AE575FCB639B}" id="{E791832B-5865-2049-AFB0-89D7F5A8AF8E}">
    <text>Anestesia 10,36</text>
  </threadedComment>
  <threadedComment ref="AB64" dT="2026-04-21T18:16:51.74" personId="{A0F95307-25EC-2442-A941-AE575FCB639B}" id="{7ED12E14-7AB1-B24D-A099-41D3EE219C13}">
    <text>Prima anestesia 10,00; seconda anestesia 11,25</text>
  </threadedComment>
  <threadedComment ref="AG64" dT="2026-06-06T13:31:28.70" personId="{A0F95307-25EC-2442-A941-AE575FCB639B}" id="{2B931AE8-07FF-0744-8E9A-BA81CCA35193}">
    <text>Anestesia 9,58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D3C81-3A9B-C845-BE75-3E3D8DE0DF01}">
  <dimension ref="A1:CL67"/>
  <sheetViews>
    <sheetView tabSelected="1" topLeftCell="BU1" workbookViewId="0">
      <selection activeCell="K76" sqref="K76"/>
    </sheetView>
  </sheetViews>
  <sheetFormatPr baseColWidth="10" defaultRowHeight="16" x14ac:dyDescent="0.2"/>
  <cols>
    <col min="1" max="1" width="7.5" customWidth="1"/>
    <col min="2" max="2" width="11.33203125" bestFit="1" customWidth="1"/>
    <col min="3" max="3" width="11"/>
    <col min="4" max="4" width="18.83203125" bestFit="1" customWidth="1"/>
    <col min="5" max="5" width="11"/>
    <col min="6" max="6" width="13.5" bestFit="1" customWidth="1"/>
    <col min="7" max="7" width="13.5" customWidth="1"/>
    <col min="8" max="8" width="14" bestFit="1" customWidth="1"/>
    <col min="9" max="9" width="14" customWidth="1"/>
    <col min="10" max="10" width="16.5" customWidth="1"/>
    <col min="11" max="11" width="19.5" bestFit="1" customWidth="1"/>
    <col min="12" max="12" width="26.83203125" customWidth="1"/>
    <col min="13" max="13" width="23.5" style="4" customWidth="1"/>
    <col min="14" max="14" width="18.1640625" style="4" bestFit="1" customWidth="1"/>
    <col min="15" max="15" width="14" bestFit="1" customWidth="1"/>
    <col min="16" max="16" width="17.83203125" customWidth="1"/>
    <col min="17" max="17" width="23.5" bestFit="1" customWidth="1"/>
    <col min="18" max="18" width="13.5" bestFit="1" customWidth="1"/>
    <col min="19" max="19" width="13" bestFit="1" customWidth="1"/>
    <col min="20" max="20" width="11"/>
    <col min="21" max="21" width="18.5" bestFit="1" customWidth="1"/>
    <col min="22" max="23" width="30" customWidth="1"/>
    <col min="24" max="24" width="14.83203125" style="4" customWidth="1"/>
    <col min="25" max="25" width="30.6640625" bestFit="1" customWidth="1"/>
    <col min="26" max="26" width="26.33203125" bestFit="1" customWidth="1"/>
    <col min="27" max="27" width="17.83203125" bestFit="1" customWidth="1"/>
    <col min="28" max="28" width="15.1640625" customWidth="1"/>
    <col min="29" max="29" width="21.5" customWidth="1"/>
    <col min="30" max="30" width="20" customWidth="1"/>
    <col min="31" max="31" width="17.6640625" bestFit="1" customWidth="1"/>
    <col min="32" max="32" width="17.83203125" customWidth="1"/>
    <col min="33" max="33" width="17.83203125" style="8" customWidth="1"/>
    <col min="34" max="35" width="13.5" customWidth="1"/>
    <col min="36" max="37" width="12.6640625" customWidth="1"/>
    <col min="38" max="40" width="9.5" customWidth="1"/>
    <col min="41" max="41" width="9.6640625" bestFit="1" customWidth="1"/>
    <col min="42" max="42" width="10.6640625" customWidth="1"/>
    <col min="43" max="43" width="10.5" customWidth="1"/>
    <col min="44" max="44" width="9.5" customWidth="1"/>
    <col min="45" max="45" width="10.5" bestFit="1" customWidth="1"/>
    <col min="46" max="46" width="11.1640625" customWidth="1"/>
    <col min="47" max="47" width="11.33203125" customWidth="1"/>
    <col min="48" max="48" width="10.33203125" customWidth="1"/>
    <col min="49" max="49" width="10.1640625" bestFit="1" customWidth="1"/>
    <col min="50" max="50" width="10.1640625" customWidth="1"/>
    <col min="51" max="51" width="10.33203125" bestFit="1" customWidth="1"/>
    <col min="52" max="52" width="10.33203125" customWidth="1"/>
    <col min="53" max="53" width="9.6640625" customWidth="1"/>
    <col min="54" max="54" width="10" customWidth="1"/>
    <col min="55" max="55" width="11.1640625" customWidth="1"/>
    <col min="56" max="56" width="10.33203125" customWidth="1"/>
    <col min="59" max="60" width="11.1640625" customWidth="1"/>
    <col min="61" max="63" width="12.6640625" customWidth="1"/>
    <col min="64" max="64" width="10.5" customWidth="1"/>
    <col min="65" max="65" width="10.5" bestFit="1" customWidth="1"/>
    <col min="66" max="66" width="10.5" customWidth="1"/>
    <col min="67" max="67" width="9.6640625" bestFit="1" customWidth="1"/>
    <col min="68" max="78" width="12.6640625" customWidth="1"/>
    <col min="79" max="80" width="17.83203125" customWidth="1"/>
    <col min="81" max="82" width="12.5" customWidth="1"/>
    <col min="83" max="83" width="17.1640625" bestFit="1" customWidth="1"/>
    <col min="84" max="84" width="17.1640625" customWidth="1"/>
    <col min="85" max="85" width="14.5" bestFit="1" customWidth="1"/>
    <col min="86" max="86" width="13.5" bestFit="1" customWidth="1"/>
    <col min="87" max="87" width="14" style="18" bestFit="1" customWidth="1"/>
    <col min="88" max="88" width="11.6640625" style="18" bestFit="1" customWidth="1"/>
    <col min="89" max="89" width="21.5" bestFit="1" customWidth="1"/>
  </cols>
  <sheetData>
    <row r="1" spans="1:90" x14ac:dyDescent="0.2">
      <c r="A1" s="24" t="s">
        <v>0</v>
      </c>
      <c r="B1" s="24" t="s">
        <v>1</v>
      </c>
      <c r="C1" s="24" t="s">
        <v>2</v>
      </c>
      <c r="D1" s="25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6" t="s">
        <v>12</v>
      </c>
      <c r="N1" s="27" t="s">
        <v>13</v>
      </c>
      <c r="O1" s="28" t="s">
        <v>14</v>
      </c>
      <c r="P1" s="29" t="s">
        <v>15</v>
      </c>
      <c r="Q1" s="30" t="s">
        <v>16</v>
      </c>
      <c r="R1" s="30" t="s">
        <v>17</v>
      </c>
      <c r="S1" s="30" t="s">
        <v>18</v>
      </c>
      <c r="T1" s="28" t="s">
        <v>19</v>
      </c>
      <c r="U1" s="24" t="s">
        <v>20</v>
      </c>
      <c r="V1" s="29" t="s">
        <v>21</v>
      </c>
      <c r="W1" s="29" t="s">
        <v>22</v>
      </c>
      <c r="X1" s="31" t="s">
        <v>23</v>
      </c>
      <c r="Y1" s="24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  <c r="AD1" s="24" t="s">
        <v>29</v>
      </c>
      <c r="AE1" s="24" t="s">
        <v>30</v>
      </c>
      <c r="AF1" s="24" t="s">
        <v>31</v>
      </c>
      <c r="AG1" s="32" t="s">
        <v>32</v>
      </c>
      <c r="AH1" s="24" t="s">
        <v>33</v>
      </c>
      <c r="AI1" s="24" t="s">
        <v>34</v>
      </c>
      <c r="AJ1" s="24" t="s">
        <v>35</v>
      </c>
      <c r="AK1" s="24" t="s">
        <v>36</v>
      </c>
      <c r="AL1" s="24" t="s">
        <v>37</v>
      </c>
      <c r="AM1" s="24" t="s">
        <v>38</v>
      </c>
      <c r="AN1" s="24" t="s">
        <v>39</v>
      </c>
      <c r="AO1" s="24" t="s">
        <v>40</v>
      </c>
      <c r="AP1" s="24" t="s">
        <v>41</v>
      </c>
      <c r="AQ1" s="24" t="s">
        <v>42</v>
      </c>
      <c r="AR1" s="24" t="s">
        <v>43</v>
      </c>
      <c r="AS1" s="24" t="s">
        <v>44</v>
      </c>
      <c r="AT1" s="24" t="s">
        <v>45</v>
      </c>
      <c r="AU1" s="24" t="s">
        <v>46</v>
      </c>
      <c r="AV1" s="24" t="s">
        <v>47</v>
      </c>
      <c r="AW1" s="24" t="s">
        <v>48</v>
      </c>
      <c r="AX1" s="24" t="s">
        <v>49</v>
      </c>
      <c r="AY1" s="24" t="s">
        <v>50</v>
      </c>
      <c r="AZ1" s="24" t="s">
        <v>51</v>
      </c>
      <c r="BA1" s="24" t="s">
        <v>52</v>
      </c>
      <c r="BB1" s="24" t="s">
        <v>53</v>
      </c>
      <c r="BC1" s="24" t="s">
        <v>54</v>
      </c>
      <c r="BD1" s="24" t="s">
        <v>55</v>
      </c>
      <c r="BE1" s="24" t="s">
        <v>56</v>
      </c>
      <c r="BF1" s="24" t="s">
        <v>57</v>
      </c>
      <c r="BG1" s="24" t="s">
        <v>58</v>
      </c>
      <c r="BH1" s="24" t="s">
        <v>59</v>
      </c>
      <c r="BI1" s="24" t="s">
        <v>60</v>
      </c>
      <c r="BJ1" s="24" t="s">
        <v>61</v>
      </c>
      <c r="BK1" s="24" t="s">
        <v>62</v>
      </c>
      <c r="BL1" s="24" t="s">
        <v>63</v>
      </c>
      <c r="BM1" s="24" t="s">
        <v>64</v>
      </c>
      <c r="BN1" s="24" t="s">
        <v>65</v>
      </c>
      <c r="BO1" s="24" t="s">
        <v>66</v>
      </c>
      <c r="BP1" s="24" t="s">
        <v>67</v>
      </c>
      <c r="BQ1" s="24" t="s">
        <v>68</v>
      </c>
      <c r="BR1" s="24" t="s">
        <v>69</v>
      </c>
      <c r="BS1" s="24" t="s">
        <v>70</v>
      </c>
      <c r="BT1" s="24" t="s">
        <v>71</v>
      </c>
      <c r="BU1" s="24" t="s">
        <v>72</v>
      </c>
      <c r="BV1" s="24" t="s">
        <v>73</v>
      </c>
      <c r="BW1" s="24" t="s">
        <v>74</v>
      </c>
      <c r="BX1" s="24" t="s">
        <v>75</v>
      </c>
      <c r="BY1" s="24" t="s">
        <v>76</v>
      </c>
      <c r="BZ1" s="24" t="s">
        <v>77</v>
      </c>
      <c r="CA1" s="24" t="s">
        <v>78</v>
      </c>
      <c r="CB1" s="24" t="s">
        <v>79</v>
      </c>
      <c r="CC1" s="24" t="s">
        <v>80</v>
      </c>
      <c r="CD1" s="24" t="s">
        <v>81</v>
      </c>
      <c r="CE1" s="24" t="s">
        <v>82</v>
      </c>
      <c r="CF1" s="24" t="s">
        <v>83</v>
      </c>
      <c r="CG1" s="24" t="s">
        <v>84</v>
      </c>
      <c r="CH1" s="33" t="s">
        <v>85</v>
      </c>
      <c r="CI1" s="33" t="s">
        <v>86</v>
      </c>
      <c r="CJ1" s="24" t="s">
        <v>87</v>
      </c>
      <c r="CK1" s="24" t="s">
        <v>88</v>
      </c>
      <c r="CL1" s="24" t="s">
        <v>89</v>
      </c>
    </row>
    <row r="2" spans="1:90" x14ac:dyDescent="0.2">
      <c r="A2" s="34" t="s">
        <v>90</v>
      </c>
      <c r="B2" s="34" t="s">
        <v>91</v>
      </c>
      <c r="C2" s="34">
        <v>20222063</v>
      </c>
      <c r="D2" s="35">
        <v>380260044731699</v>
      </c>
      <c r="E2" s="35">
        <v>1</v>
      </c>
      <c r="F2" s="34">
        <v>27.5</v>
      </c>
      <c r="G2" s="34">
        <v>27.2</v>
      </c>
      <c r="H2" s="34">
        <v>3</v>
      </c>
      <c r="I2" s="34">
        <v>3</v>
      </c>
      <c r="J2" s="36">
        <f>DogSample3[[#This Row],[Weight pre (kg)]]*4.5/50</f>
        <v>2.4750000000000001</v>
      </c>
      <c r="K2" s="34" t="s">
        <v>92</v>
      </c>
      <c r="L2" s="37"/>
      <c r="M2" s="38">
        <v>43802</v>
      </c>
      <c r="N2" s="38">
        <v>44867</v>
      </c>
      <c r="O2" s="37">
        <f t="shared" ref="O2:O64" si="0">DATEDIF(M2,N2,"d")</f>
        <v>1065</v>
      </c>
      <c r="P2" s="34" t="s">
        <v>93</v>
      </c>
      <c r="Q2" s="37" t="s">
        <v>94</v>
      </c>
      <c r="R2" s="34" t="s">
        <v>95</v>
      </c>
      <c r="S2" s="39">
        <v>46047</v>
      </c>
      <c r="T2" s="37">
        <f t="shared" ref="T2:T64" si="1">DATEDIF(N2,S2,"d")</f>
        <v>1180</v>
      </c>
      <c r="U2" s="37" t="s">
        <v>96</v>
      </c>
      <c r="V2" s="37" t="s">
        <v>97</v>
      </c>
      <c r="W2" s="37" t="s">
        <v>98</v>
      </c>
      <c r="X2" s="38">
        <v>45707</v>
      </c>
      <c r="Y2" s="37" t="s">
        <v>99</v>
      </c>
      <c r="Z2" s="39">
        <v>46047</v>
      </c>
      <c r="AA2" s="39">
        <f>DogSample3[[#This Row],[Behavioural recording start]]+5</f>
        <v>46052</v>
      </c>
      <c r="AB2" s="40">
        <v>10.15</v>
      </c>
      <c r="AC2" s="41">
        <f>DogSample3[[#This Row],[1st Blood sample]]+1</f>
        <v>46053</v>
      </c>
      <c r="AD2" s="41">
        <f>DogSample3[[#This Row],[Treatment start]]+40</f>
        <v>46093</v>
      </c>
      <c r="AE2" s="41">
        <f>DogSample3[[#This Row],[2nd Behavioural recording start]]+4</f>
        <v>46097</v>
      </c>
      <c r="AF2" s="41">
        <f>DogSample3[[#This Row],[2nd Behavioural recording start]]+4</f>
        <v>46097</v>
      </c>
      <c r="AG2" s="42">
        <v>10.199999999999999</v>
      </c>
      <c r="AH2" s="42">
        <v>7.04</v>
      </c>
      <c r="AI2" s="42">
        <v>6.96</v>
      </c>
      <c r="AJ2" s="42">
        <v>16.3</v>
      </c>
      <c r="AK2" s="42">
        <v>16.100000000000001</v>
      </c>
      <c r="AL2" s="42">
        <v>46.7</v>
      </c>
      <c r="AM2" s="42">
        <v>46.6</v>
      </c>
      <c r="AN2" s="42">
        <v>34.9</v>
      </c>
      <c r="AO2" s="42">
        <v>34.5</v>
      </c>
      <c r="AP2" s="42">
        <v>11.5</v>
      </c>
      <c r="AQ2" s="42">
        <v>11.8</v>
      </c>
      <c r="AR2" s="42">
        <v>8.7200000000000006</v>
      </c>
      <c r="AS2" s="42">
        <v>8.4700000000000006</v>
      </c>
      <c r="AT2" s="43">
        <v>63</v>
      </c>
      <c r="AU2" s="43">
        <v>60</v>
      </c>
      <c r="AV2" s="44">
        <v>30</v>
      </c>
      <c r="AW2" s="44">
        <v>31</v>
      </c>
      <c r="AX2" s="43">
        <v>3</v>
      </c>
      <c r="AY2" s="43">
        <v>4</v>
      </c>
      <c r="AZ2" s="43">
        <v>4</v>
      </c>
      <c r="BA2" s="43">
        <v>4</v>
      </c>
      <c r="BB2" s="42">
        <v>5.47</v>
      </c>
      <c r="BC2" s="42">
        <v>5.12</v>
      </c>
      <c r="BD2" s="42">
        <v>2.63</v>
      </c>
      <c r="BE2" s="42">
        <v>2.66</v>
      </c>
      <c r="BF2" s="42">
        <v>0.3</v>
      </c>
      <c r="BG2" s="42">
        <v>0.31</v>
      </c>
      <c r="BH2" s="42">
        <v>0.32</v>
      </c>
      <c r="BI2" s="42">
        <v>0.38</v>
      </c>
      <c r="BJ2" s="43">
        <v>309</v>
      </c>
      <c r="BK2" s="43">
        <v>316</v>
      </c>
      <c r="BL2" s="45">
        <v>8.9</v>
      </c>
      <c r="BM2" s="45">
        <v>10.7</v>
      </c>
      <c r="BN2" s="42">
        <v>0.28000000000000003</v>
      </c>
      <c r="BO2" s="42">
        <v>0.34</v>
      </c>
      <c r="BP2" s="44">
        <v>66</v>
      </c>
      <c r="BQ2" s="43">
        <v>57</v>
      </c>
      <c r="BR2" s="43">
        <v>34</v>
      </c>
      <c r="BS2" s="43">
        <v>32</v>
      </c>
      <c r="BT2" s="42">
        <v>0.23</v>
      </c>
      <c r="BU2" s="42">
        <v>0.32</v>
      </c>
      <c r="BV2" s="43">
        <v>47</v>
      </c>
      <c r="BW2" s="43">
        <v>46</v>
      </c>
      <c r="BX2" s="42">
        <v>0.97</v>
      </c>
      <c r="BY2" s="42">
        <v>0.97</v>
      </c>
      <c r="BZ2" s="46">
        <v>26011003</v>
      </c>
      <c r="CA2" s="43">
        <v>26025637</v>
      </c>
      <c r="CB2" s="47">
        <v>47</v>
      </c>
      <c r="CC2" s="48">
        <v>6</v>
      </c>
      <c r="CD2" s="49">
        <v>329.7</v>
      </c>
      <c r="CE2" s="50">
        <v>373.1</v>
      </c>
      <c r="CF2" s="51">
        <f t="shared" ref="CF2:CG17" si="2">(CB2/CD2)</f>
        <v>0.14255383682135275</v>
      </c>
      <c r="CG2" s="51">
        <f t="shared" si="2"/>
        <v>1.6081479496113642E-2</v>
      </c>
      <c r="CH2" s="52" t="s">
        <v>100</v>
      </c>
      <c r="CI2" s="53"/>
      <c r="CJ2" s="37" t="s">
        <v>101</v>
      </c>
      <c r="CK2" s="54"/>
      <c r="CL2" s="54"/>
    </row>
    <row r="3" spans="1:90" x14ac:dyDescent="0.2">
      <c r="A3" s="55" t="s">
        <v>102</v>
      </c>
      <c r="B3" s="55" t="s">
        <v>103</v>
      </c>
      <c r="C3">
        <v>20231647</v>
      </c>
      <c r="D3" s="10">
        <v>380260045016300</v>
      </c>
      <c r="E3">
        <v>1</v>
      </c>
      <c r="F3">
        <v>27.4</v>
      </c>
      <c r="G3">
        <v>27.65</v>
      </c>
      <c r="H3">
        <v>3</v>
      </c>
      <c r="I3">
        <v>3</v>
      </c>
      <c r="J3" s="56">
        <f>DogSample3[[#This Row],[Weight pre (kg)]]*4.5/50</f>
        <v>2.4659999999999997</v>
      </c>
      <c r="M3" s="4">
        <v>43338</v>
      </c>
      <c r="N3" s="4">
        <v>45164</v>
      </c>
      <c r="O3" s="54">
        <f t="shared" si="0"/>
        <v>1826</v>
      </c>
      <c r="P3" s="55" t="s">
        <v>104</v>
      </c>
      <c r="Q3" s="55" t="s">
        <v>105</v>
      </c>
      <c r="R3" s="55" t="s">
        <v>106</v>
      </c>
      <c r="S3" s="4">
        <v>46095</v>
      </c>
      <c r="T3" s="54">
        <f t="shared" si="1"/>
        <v>931</v>
      </c>
      <c r="U3" s="55" t="s">
        <v>96</v>
      </c>
      <c r="V3" s="55" t="s">
        <v>107</v>
      </c>
      <c r="W3" s="55" t="s">
        <v>108</v>
      </c>
      <c r="X3" s="4">
        <v>45226</v>
      </c>
      <c r="Y3" s="55" t="s">
        <v>109</v>
      </c>
      <c r="Z3" s="4">
        <v>46095</v>
      </c>
      <c r="AA3" s="57">
        <f>DogSample3[[#This Row],[Behavioural recording start]]+5</f>
        <v>46100</v>
      </c>
      <c r="AB3" s="18">
        <v>11.48</v>
      </c>
      <c r="AC3" s="5">
        <f>DogSample3[[#This Row],[1st Blood sample]]+1</f>
        <v>46101</v>
      </c>
      <c r="AD3" s="5">
        <f>DogSample3[[#This Row],[Treatment start]]+40</f>
        <v>46141</v>
      </c>
      <c r="AE3" s="5">
        <f>DogSample3[[#This Row],[2nd Behavioural recording start]]+4</f>
        <v>46145</v>
      </c>
      <c r="AF3" s="4">
        <f>DogSample3[[#This Row],[2nd Behavioural recording start]]+5</f>
        <v>46146</v>
      </c>
      <c r="AG3" s="8">
        <v>10.050000000000001</v>
      </c>
      <c r="AH3" s="8">
        <v>7.29</v>
      </c>
      <c r="AI3" s="8">
        <v>6.74</v>
      </c>
      <c r="AJ3" s="8">
        <v>16.5</v>
      </c>
      <c r="AK3" s="8">
        <v>16.3</v>
      </c>
      <c r="AL3" s="8">
        <v>51.3</v>
      </c>
      <c r="AM3" s="8">
        <v>44.8</v>
      </c>
      <c r="AN3" s="8">
        <v>32.200000000000003</v>
      </c>
      <c r="AO3" s="8">
        <v>36.4</v>
      </c>
      <c r="AP3" s="8">
        <v>12.3</v>
      </c>
      <c r="AQ3" s="8">
        <v>12.5</v>
      </c>
      <c r="AR3" s="8">
        <v>8.5299999999999994</v>
      </c>
      <c r="AS3" s="8">
        <v>7.32</v>
      </c>
      <c r="AT3" s="10">
        <v>73</v>
      </c>
      <c r="AU3" s="10">
        <v>66</v>
      </c>
      <c r="AV3" s="10">
        <v>20</v>
      </c>
      <c r="AW3" s="10">
        <v>23</v>
      </c>
      <c r="AX3" s="10">
        <v>5</v>
      </c>
      <c r="AY3" s="10">
        <v>8</v>
      </c>
      <c r="AZ3" s="10">
        <v>2</v>
      </c>
      <c r="BA3" s="10">
        <v>4</v>
      </c>
      <c r="BB3">
        <v>6.23</v>
      </c>
      <c r="BC3">
        <v>4.83</v>
      </c>
      <c r="BD3">
        <v>1.71</v>
      </c>
      <c r="BE3">
        <v>1.67</v>
      </c>
      <c r="BF3">
        <v>0.43</v>
      </c>
      <c r="BG3">
        <v>0.62</v>
      </c>
      <c r="BH3">
        <v>0.17</v>
      </c>
      <c r="BI3">
        <v>0.33</v>
      </c>
      <c r="BJ3">
        <v>264</v>
      </c>
      <c r="BK3">
        <v>207</v>
      </c>
      <c r="BL3" s="9">
        <v>9.4</v>
      </c>
      <c r="BM3">
        <v>10.4</v>
      </c>
      <c r="BN3">
        <v>0.25</v>
      </c>
      <c r="BO3">
        <v>0.22</v>
      </c>
      <c r="BP3" s="58">
        <v>41</v>
      </c>
      <c r="BQ3">
        <v>37</v>
      </c>
      <c r="BR3">
        <v>36</v>
      </c>
      <c r="BS3">
        <v>42</v>
      </c>
      <c r="BT3">
        <v>0.11</v>
      </c>
      <c r="BU3">
        <v>0.21</v>
      </c>
      <c r="BV3">
        <v>34</v>
      </c>
      <c r="BW3" s="10">
        <v>38</v>
      </c>
      <c r="BX3" s="8">
        <v>0.8</v>
      </c>
      <c r="BY3">
        <v>0.81</v>
      </c>
      <c r="BZ3">
        <v>26027063</v>
      </c>
      <c r="CA3" s="59">
        <v>26040582</v>
      </c>
      <c r="CB3" s="7">
        <v>30</v>
      </c>
      <c r="CC3" s="11" t="s">
        <v>316</v>
      </c>
      <c r="CD3" s="60">
        <v>79</v>
      </c>
      <c r="CE3" s="11"/>
      <c r="CF3" s="21">
        <f t="shared" si="2"/>
        <v>0.379746835443038</v>
      </c>
      <c r="CG3" s="11" t="e">
        <f t="shared" si="2"/>
        <v>#VALUE!</v>
      </c>
      <c r="CH3" s="18"/>
      <c r="CJ3" s="55" t="s">
        <v>101</v>
      </c>
    </row>
    <row r="4" spans="1:90" x14ac:dyDescent="0.2">
      <c r="A4" s="1" t="s">
        <v>110</v>
      </c>
      <c r="B4" s="1" t="s">
        <v>111</v>
      </c>
      <c r="C4" s="1">
        <v>20241568</v>
      </c>
      <c r="D4" s="2">
        <v>380260044997607</v>
      </c>
      <c r="E4" s="2">
        <v>0</v>
      </c>
      <c r="F4" s="1">
        <v>25</v>
      </c>
      <c r="G4" s="1">
        <v>27</v>
      </c>
      <c r="H4" s="1">
        <v>3</v>
      </c>
      <c r="I4" s="1">
        <v>3</v>
      </c>
      <c r="J4" s="1">
        <f>DogSample3[[#This Row],[Weight pre (kg)]]*4.5/50</f>
        <v>2.25</v>
      </c>
      <c r="K4" s="1" t="s">
        <v>92</v>
      </c>
      <c r="M4" s="3">
        <v>44805</v>
      </c>
      <c r="N4" s="3">
        <v>45535</v>
      </c>
      <c r="O4" s="55">
        <f t="shared" si="0"/>
        <v>730</v>
      </c>
      <c r="P4" s="55" t="s">
        <v>93</v>
      </c>
      <c r="Q4" s="1" t="s">
        <v>112</v>
      </c>
      <c r="R4" s="55" t="s">
        <v>106</v>
      </c>
      <c r="S4" s="4">
        <v>46029</v>
      </c>
      <c r="T4">
        <f t="shared" si="1"/>
        <v>494</v>
      </c>
      <c r="U4" s="55" t="s">
        <v>96</v>
      </c>
      <c r="V4" s="55" t="s">
        <v>97</v>
      </c>
      <c r="W4" s="55"/>
      <c r="X4" s="3">
        <v>45558</v>
      </c>
      <c r="Y4" s="55" t="s">
        <v>113</v>
      </c>
      <c r="Z4" s="4">
        <v>46029</v>
      </c>
      <c r="AA4" s="61">
        <f>DogSample3[[#This Row],[Behavioural recording start]]+5</f>
        <v>46034</v>
      </c>
      <c r="AB4" s="19">
        <v>9.3000000000000007</v>
      </c>
      <c r="AC4" s="4">
        <f>DogSample3[[#This Row],[1st Blood sample]]+1</f>
        <v>46035</v>
      </c>
      <c r="AD4" s="4">
        <f>DogSample3[[#This Row],[Treatment start]]+40</f>
        <v>46075</v>
      </c>
      <c r="AE4" s="5">
        <f>DogSample3[[#This Row],[2nd Behavioural recording start]]+4</f>
        <v>46079</v>
      </c>
      <c r="AF4" s="4">
        <f>DogSample3[[#This Row],[2nd Behavioural recording start]]+5</f>
        <v>46080</v>
      </c>
      <c r="AG4" s="8">
        <v>10.4</v>
      </c>
      <c r="AH4" s="8">
        <v>8.4</v>
      </c>
      <c r="AI4" s="13">
        <v>8.75</v>
      </c>
      <c r="AJ4" s="8">
        <v>17.100000000000001</v>
      </c>
      <c r="AK4" s="13">
        <v>20.3</v>
      </c>
      <c r="AL4" s="8">
        <v>53</v>
      </c>
      <c r="AM4" s="13">
        <v>60.1</v>
      </c>
      <c r="AN4" s="8">
        <v>32.299999999999997</v>
      </c>
      <c r="AO4" s="11">
        <v>33.799999999999997</v>
      </c>
      <c r="AP4" s="8">
        <v>12.1</v>
      </c>
      <c r="AQ4" s="8">
        <v>11.9</v>
      </c>
      <c r="AR4" s="8">
        <v>5.81</v>
      </c>
      <c r="AS4" s="8">
        <v>7.06</v>
      </c>
      <c r="AT4" s="10">
        <v>69</v>
      </c>
      <c r="AU4" s="10">
        <v>74</v>
      </c>
      <c r="AV4" s="14">
        <v>26</v>
      </c>
      <c r="AW4" s="7">
        <v>21</v>
      </c>
      <c r="AX4" s="10">
        <v>4</v>
      </c>
      <c r="AY4" s="10">
        <v>4</v>
      </c>
      <c r="AZ4" s="10">
        <v>1</v>
      </c>
      <c r="BA4" s="10">
        <v>1</v>
      </c>
      <c r="BB4" s="8">
        <v>3.99</v>
      </c>
      <c r="BC4" s="8">
        <v>5.22</v>
      </c>
      <c r="BD4" s="8">
        <v>1.51</v>
      </c>
      <c r="BE4" s="8">
        <v>1.48</v>
      </c>
      <c r="BF4" s="8">
        <v>0.24</v>
      </c>
      <c r="BG4" s="8">
        <v>0.28000000000000003</v>
      </c>
      <c r="BH4" s="8">
        <v>7.0000000000000007E-2</v>
      </c>
      <c r="BI4" s="8">
        <v>7.0000000000000007E-2</v>
      </c>
      <c r="BJ4" s="10">
        <v>188</v>
      </c>
      <c r="BK4" s="10">
        <v>214</v>
      </c>
      <c r="BL4" s="9">
        <v>10.7</v>
      </c>
      <c r="BM4" s="9">
        <v>9.1999999999999993</v>
      </c>
      <c r="BN4" s="8">
        <v>0.2</v>
      </c>
      <c r="BO4" s="8">
        <v>0.2</v>
      </c>
      <c r="BP4" s="10">
        <v>40</v>
      </c>
      <c r="BQ4" s="14">
        <v>43</v>
      </c>
      <c r="BR4" s="10">
        <v>34</v>
      </c>
      <c r="BS4" s="10">
        <v>38</v>
      </c>
      <c r="BT4" s="8">
        <v>0.1</v>
      </c>
      <c r="BU4" s="8">
        <v>0.13</v>
      </c>
      <c r="BV4" s="10">
        <v>22</v>
      </c>
      <c r="BW4" s="10">
        <v>22</v>
      </c>
      <c r="BX4" s="8">
        <v>1</v>
      </c>
      <c r="BY4" s="8">
        <v>0.79</v>
      </c>
      <c r="BZ4" s="10">
        <v>25104285</v>
      </c>
      <c r="CA4" s="4"/>
      <c r="CB4" s="12">
        <v>62</v>
      </c>
      <c r="CC4" s="62"/>
      <c r="CD4" s="17">
        <v>353.5</v>
      </c>
      <c r="CE4" s="11"/>
      <c r="CF4" s="21">
        <f t="shared" si="2"/>
        <v>0.17538896746817539</v>
      </c>
      <c r="CG4" s="11" t="e">
        <f t="shared" si="2"/>
        <v>#DIV/0!</v>
      </c>
      <c r="CH4" s="63" t="s">
        <v>100</v>
      </c>
      <c r="CJ4" s="55" t="s">
        <v>101</v>
      </c>
    </row>
    <row r="5" spans="1:90" x14ac:dyDescent="0.2">
      <c r="A5" s="1" t="s">
        <v>114</v>
      </c>
      <c r="B5" s="1" t="s">
        <v>115</v>
      </c>
      <c r="C5" s="1">
        <v>20241967</v>
      </c>
      <c r="D5" s="2">
        <v>380260170343061</v>
      </c>
      <c r="E5" s="2">
        <v>1</v>
      </c>
      <c r="F5" s="1">
        <v>23</v>
      </c>
      <c r="G5" s="1">
        <v>25.2</v>
      </c>
      <c r="H5" s="1">
        <v>3</v>
      </c>
      <c r="I5" s="1">
        <v>3</v>
      </c>
      <c r="J5" s="1">
        <f>DogSample3[[#This Row],[Weight pre (kg)]]*4.5/50</f>
        <v>2.0699999999999998</v>
      </c>
      <c r="K5" s="1"/>
      <c r="L5" s="55"/>
      <c r="M5" s="3">
        <v>45066</v>
      </c>
      <c r="N5" s="3">
        <v>45614</v>
      </c>
      <c r="O5" s="55">
        <f t="shared" si="0"/>
        <v>548</v>
      </c>
      <c r="P5" s="55" t="s">
        <v>104</v>
      </c>
      <c r="Q5" s="64" t="s">
        <v>112</v>
      </c>
      <c r="R5" s="58" t="s">
        <v>95</v>
      </c>
      <c r="S5" s="3">
        <v>46064</v>
      </c>
      <c r="T5">
        <f t="shared" si="1"/>
        <v>450</v>
      </c>
      <c r="U5" s="55" t="s">
        <v>96</v>
      </c>
      <c r="V5" s="55" t="s">
        <v>116</v>
      </c>
      <c r="W5" s="55"/>
      <c r="X5" s="3">
        <v>45630</v>
      </c>
      <c r="Y5" s="55" t="s">
        <v>117</v>
      </c>
      <c r="Z5" s="3">
        <v>46064</v>
      </c>
      <c r="AA5" s="61">
        <f>DogSample3[[#This Row],[Behavioural recording start]]+5</f>
        <v>46069</v>
      </c>
      <c r="AB5" s="65">
        <v>10</v>
      </c>
      <c r="AC5" s="4">
        <f>DogSample3[[#This Row],[1st Blood sample]]+1</f>
        <v>46070</v>
      </c>
      <c r="AD5" s="4">
        <f>DogSample3[[#This Row],[Treatment start]]+40</f>
        <v>46110</v>
      </c>
      <c r="AE5" s="5">
        <f>DogSample3[[#This Row],[2nd Behavioural recording start]]+4</f>
        <v>46114</v>
      </c>
      <c r="AF5" s="4">
        <f>DogSample3[[#This Row],[2nd Behavioural recording start]]+5</f>
        <v>46115</v>
      </c>
      <c r="AG5" s="8">
        <v>10</v>
      </c>
      <c r="AH5" s="8">
        <v>8.17</v>
      </c>
      <c r="AI5" s="8">
        <v>7.41</v>
      </c>
      <c r="AJ5" s="8">
        <v>17.3</v>
      </c>
      <c r="AK5" s="8">
        <v>17.2</v>
      </c>
      <c r="AL5" s="8">
        <v>51.9</v>
      </c>
      <c r="AM5" s="8">
        <v>48.3</v>
      </c>
      <c r="AN5" s="8">
        <v>33.299999999999997</v>
      </c>
      <c r="AO5" s="66">
        <v>35.6</v>
      </c>
      <c r="AP5" s="8">
        <v>11.8</v>
      </c>
      <c r="AQ5" s="8">
        <v>14.9</v>
      </c>
      <c r="AR5" s="8">
        <v>8.74</v>
      </c>
      <c r="AS5" s="8">
        <v>7.25</v>
      </c>
      <c r="AT5" s="10">
        <v>66</v>
      </c>
      <c r="AU5" s="10">
        <v>69</v>
      </c>
      <c r="AV5" s="10">
        <v>24</v>
      </c>
      <c r="AW5" s="10">
        <v>18</v>
      </c>
      <c r="AX5" s="10">
        <v>5</v>
      </c>
      <c r="AY5" s="10">
        <v>8</v>
      </c>
      <c r="AZ5" s="10">
        <v>5</v>
      </c>
      <c r="BA5" s="10">
        <v>5</v>
      </c>
      <c r="BB5" s="8">
        <v>5.77</v>
      </c>
      <c r="BC5" s="8">
        <v>5</v>
      </c>
      <c r="BD5" s="8">
        <v>2.1</v>
      </c>
      <c r="BE5" s="16">
        <v>1.27</v>
      </c>
      <c r="BF5" s="8">
        <v>0.44</v>
      </c>
      <c r="BG5" s="8">
        <v>0.55000000000000004</v>
      </c>
      <c r="BH5" s="8">
        <v>0.44</v>
      </c>
      <c r="BI5" s="8">
        <v>0.37</v>
      </c>
      <c r="BJ5" s="10">
        <v>275</v>
      </c>
      <c r="BK5" s="10">
        <v>312</v>
      </c>
      <c r="BL5" s="9">
        <v>9.6999999999999993</v>
      </c>
      <c r="BM5" s="9">
        <v>10.3</v>
      </c>
      <c r="BN5" s="8">
        <v>0.27</v>
      </c>
      <c r="BO5" s="8">
        <v>0.32</v>
      </c>
      <c r="BP5" s="14">
        <v>58</v>
      </c>
      <c r="BQ5" s="14">
        <v>53</v>
      </c>
      <c r="BR5" s="10">
        <v>53</v>
      </c>
      <c r="BS5" s="10">
        <v>48</v>
      </c>
      <c r="BT5" s="8">
        <v>0.31</v>
      </c>
      <c r="BU5" s="8">
        <v>0.11</v>
      </c>
      <c r="BV5" s="10">
        <v>33</v>
      </c>
      <c r="BW5" s="10">
        <v>39</v>
      </c>
      <c r="BX5" s="8">
        <v>0.98</v>
      </c>
      <c r="BY5" s="8">
        <v>1.05</v>
      </c>
      <c r="BZ5" s="10">
        <v>26016805</v>
      </c>
      <c r="CA5" s="10">
        <v>26031562</v>
      </c>
      <c r="CB5" s="12">
        <v>13</v>
      </c>
      <c r="CC5" s="13" t="s">
        <v>118</v>
      </c>
      <c r="CD5" s="17">
        <v>336.7</v>
      </c>
      <c r="CE5" s="17">
        <v>315.10000000000002</v>
      </c>
      <c r="CF5" s="21">
        <f t="shared" si="2"/>
        <v>3.8610038610038609E-2</v>
      </c>
      <c r="CG5" s="11" t="e">
        <f t="shared" si="2"/>
        <v>#VALUE!</v>
      </c>
      <c r="CH5" s="18"/>
      <c r="CJ5" s="55" t="s">
        <v>101</v>
      </c>
    </row>
    <row r="6" spans="1:90" x14ac:dyDescent="0.2">
      <c r="A6" s="1" t="s">
        <v>119</v>
      </c>
      <c r="B6" s="1" t="s">
        <v>120</v>
      </c>
      <c r="C6" s="1">
        <v>20210199</v>
      </c>
      <c r="D6" s="2">
        <v>380260101693046</v>
      </c>
      <c r="E6" s="67">
        <v>1</v>
      </c>
      <c r="F6" s="1">
        <v>33.799999999999997</v>
      </c>
      <c r="G6" s="1">
        <v>34</v>
      </c>
      <c r="H6" s="1">
        <v>3</v>
      </c>
      <c r="I6" s="1">
        <v>3</v>
      </c>
      <c r="J6" s="56">
        <f>DogSample3[[#This Row],[Weight pre (kg)]]*4.5/50</f>
        <v>3.0419999999999998</v>
      </c>
      <c r="K6" s="1" t="s">
        <v>92</v>
      </c>
      <c r="L6" s="55" t="s">
        <v>107</v>
      </c>
      <c r="M6" s="3">
        <v>43933</v>
      </c>
      <c r="N6" s="3">
        <v>44244</v>
      </c>
      <c r="O6" s="55">
        <f t="shared" si="0"/>
        <v>311</v>
      </c>
      <c r="P6" s="55" t="s">
        <v>104</v>
      </c>
      <c r="Q6" s="55" t="s">
        <v>112</v>
      </c>
      <c r="R6" s="55" t="s">
        <v>121</v>
      </c>
      <c r="S6" s="61">
        <v>46058</v>
      </c>
      <c r="T6" s="55">
        <f t="shared" si="1"/>
        <v>1814</v>
      </c>
      <c r="U6" s="55" t="s">
        <v>96</v>
      </c>
      <c r="V6" s="55" t="s">
        <v>122</v>
      </c>
      <c r="W6" s="55"/>
      <c r="X6" s="3">
        <v>44264</v>
      </c>
      <c r="Y6" s="55" t="s">
        <v>99</v>
      </c>
      <c r="Z6" s="61">
        <v>46058</v>
      </c>
      <c r="AA6" s="61">
        <f>DogSample3[[#This Row],[Behavioural recording start]]+5</f>
        <v>46063</v>
      </c>
      <c r="AB6" s="65">
        <v>10</v>
      </c>
      <c r="AC6" s="4">
        <f>DogSample3[[#This Row],[1st Blood sample]]+1</f>
        <v>46064</v>
      </c>
      <c r="AD6" s="4">
        <f>DogSample3[[#This Row],[Treatment start]]+40</f>
        <v>46104</v>
      </c>
      <c r="AE6" s="5">
        <f>DogSample3[[#This Row],[2nd Behavioural recording start]]+4</f>
        <v>46108</v>
      </c>
      <c r="AF6" s="4">
        <f>DogSample3[[#This Row],[2nd Behavioural recording start]]+7</f>
        <v>46111</v>
      </c>
      <c r="AG6" s="8">
        <v>10.38</v>
      </c>
      <c r="AH6" s="8">
        <v>8.2100000000000009</v>
      </c>
      <c r="AI6" s="8">
        <v>7.51</v>
      </c>
      <c r="AJ6" s="8">
        <v>17.899999999999999</v>
      </c>
      <c r="AK6" s="8">
        <v>18</v>
      </c>
      <c r="AL6" s="8">
        <v>52.5</v>
      </c>
      <c r="AM6" s="8">
        <v>51.1</v>
      </c>
      <c r="AN6" s="8">
        <v>34.1</v>
      </c>
      <c r="AO6" s="66">
        <v>35.200000000000003</v>
      </c>
      <c r="AP6" s="8">
        <v>11.2</v>
      </c>
      <c r="AQ6" s="8">
        <v>13.7</v>
      </c>
      <c r="AR6" s="8">
        <v>6.12</v>
      </c>
      <c r="AS6" s="8">
        <v>6.36</v>
      </c>
      <c r="AT6" s="10">
        <v>63</v>
      </c>
      <c r="AU6" s="10">
        <v>70</v>
      </c>
      <c r="AV6" s="14">
        <v>32</v>
      </c>
      <c r="AW6" s="10">
        <v>21</v>
      </c>
      <c r="AX6" s="10">
        <v>3</v>
      </c>
      <c r="AY6" s="10">
        <v>8</v>
      </c>
      <c r="AZ6" s="10">
        <v>2</v>
      </c>
      <c r="BA6" s="10">
        <v>3</v>
      </c>
      <c r="BB6" s="8">
        <v>3.86</v>
      </c>
      <c r="BC6" s="8">
        <v>4.45</v>
      </c>
      <c r="BD6" s="8">
        <v>1.96</v>
      </c>
      <c r="BE6" s="16">
        <v>1.31</v>
      </c>
      <c r="BF6" s="8">
        <v>0.18</v>
      </c>
      <c r="BG6" s="8">
        <v>0.51</v>
      </c>
      <c r="BH6" s="8">
        <v>0.12</v>
      </c>
      <c r="BI6" s="8">
        <v>0.18</v>
      </c>
      <c r="BJ6" s="10">
        <v>307</v>
      </c>
      <c r="BK6" s="10">
        <v>370</v>
      </c>
      <c r="BL6" s="9">
        <v>8.9</v>
      </c>
      <c r="BM6" s="9">
        <v>9.9</v>
      </c>
      <c r="BN6" s="8">
        <v>0.27</v>
      </c>
      <c r="BO6" s="8">
        <v>0.37</v>
      </c>
      <c r="BP6" s="10">
        <v>39</v>
      </c>
      <c r="BQ6" s="10">
        <v>37</v>
      </c>
      <c r="BR6" s="10">
        <v>43</v>
      </c>
      <c r="BS6" s="10">
        <v>41</v>
      </c>
      <c r="BT6" s="8">
        <v>0.11</v>
      </c>
      <c r="BU6" s="8">
        <v>0.16</v>
      </c>
      <c r="BV6" s="10">
        <v>26</v>
      </c>
      <c r="BW6" s="10">
        <v>34</v>
      </c>
      <c r="BX6" s="8">
        <v>1.02</v>
      </c>
      <c r="BY6" s="8">
        <v>1.1399999999999999</v>
      </c>
      <c r="BZ6" s="10">
        <v>26014900</v>
      </c>
      <c r="CA6" s="10">
        <v>26030059</v>
      </c>
      <c r="CB6" s="12">
        <v>17</v>
      </c>
      <c r="CC6" s="12">
        <v>8</v>
      </c>
      <c r="CD6" s="17">
        <v>350.9</v>
      </c>
      <c r="CE6" s="17">
        <v>315.39999999999998</v>
      </c>
      <c r="CF6" s="21">
        <f t="shared" si="2"/>
        <v>4.8446850954687946E-2</v>
      </c>
      <c r="CG6" s="11">
        <f t="shared" si="2"/>
        <v>2.5364616360177554E-2</v>
      </c>
      <c r="CH6" s="63"/>
      <c r="CI6" s="63"/>
      <c r="CJ6" s="55" t="s">
        <v>101</v>
      </c>
      <c r="CK6" s="55"/>
      <c r="CL6" s="55"/>
    </row>
    <row r="7" spans="1:90" x14ac:dyDescent="0.2">
      <c r="A7" s="1" t="s">
        <v>123</v>
      </c>
      <c r="B7" s="1" t="s">
        <v>124</v>
      </c>
      <c r="C7" s="1">
        <v>20251016</v>
      </c>
      <c r="D7" s="2">
        <v>380260170352207</v>
      </c>
      <c r="E7" s="2">
        <v>1</v>
      </c>
      <c r="F7" s="1">
        <v>18.399999999999999</v>
      </c>
      <c r="G7" s="1">
        <v>19.600000000000001</v>
      </c>
      <c r="H7" s="1">
        <v>3</v>
      </c>
      <c r="I7" s="1">
        <v>3</v>
      </c>
      <c r="J7" s="56">
        <f>DogSample3[[#This Row],[Weight pre (kg)]]*4.5/50</f>
        <v>1.6559999999999999</v>
      </c>
      <c r="K7" s="1" t="s">
        <v>125</v>
      </c>
      <c r="L7" s="55" t="s">
        <v>126</v>
      </c>
      <c r="M7" s="3">
        <v>45296</v>
      </c>
      <c r="N7" s="3">
        <v>45844</v>
      </c>
      <c r="O7" s="55">
        <f t="shared" si="0"/>
        <v>548</v>
      </c>
      <c r="P7" s="55" t="s">
        <v>93</v>
      </c>
      <c r="Q7" s="55" t="s">
        <v>127</v>
      </c>
      <c r="R7" s="55" t="s">
        <v>106</v>
      </c>
      <c r="S7" s="4">
        <v>46007</v>
      </c>
      <c r="T7">
        <f t="shared" si="1"/>
        <v>163</v>
      </c>
      <c r="U7" s="55" t="s">
        <v>96</v>
      </c>
      <c r="V7" s="55" t="s">
        <v>128</v>
      </c>
      <c r="W7" s="55"/>
      <c r="X7" s="3">
        <v>45874</v>
      </c>
      <c r="Y7" s="55" t="s">
        <v>99</v>
      </c>
      <c r="Z7" s="4">
        <v>46007</v>
      </c>
      <c r="AA7" s="61">
        <f>DogSample3[[#This Row],[Behavioural recording start]]+5</f>
        <v>46012</v>
      </c>
      <c r="AB7" s="65">
        <v>10.15</v>
      </c>
      <c r="AC7" s="4">
        <f>DogSample3[[#This Row],[1st Blood sample]]+1</f>
        <v>46013</v>
      </c>
      <c r="AD7" s="4">
        <f>DogSample3[[#This Row],[Treatment start]]+40</f>
        <v>46053</v>
      </c>
      <c r="AE7" s="5">
        <f>DogSample3[[#This Row],[2nd Behavioural recording start]]+4</f>
        <v>46057</v>
      </c>
      <c r="AF7" s="4">
        <f>DogSample3[[#This Row],[2nd Behavioural recording start]]+5</f>
        <v>46058</v>
      </c>
      <c r="AG7" s="8">
        <v>10.46</v>
      </c>
      <c r="AH7" s="8">
        <v>8.26</v>
      </c>
      <c r="AI7" s="8">
        <v>7.57</v>
      </c>
      <c r="AJ7" s="8">
        <v>17.600000000000001</v>
      </c>
      <c r="AK7" s="8">
        <v>17.399999999999999</v>
      </c>
      <c r="AL7" s="8">
        <v>54.9</v>
      </c>
      <c r="AM7" s="8">
        <v>50.1</v>
      </c>
      <c r="AN7" s="8">
        <v>32.1</v>
      </c>
      <c r="AO7" s="11">
        <v>34.700000000000003</v>
      </c>
      <c r="AP7" s="8">
        <v>13.5</v>
      </c>
      <c r="AQ7" s="8">
        <v>11.1</v>
      </c>
      <c r="AR7" s="8">
        <v>7.77</v>
      </c>
      <c r="AS7" s="8">
        <v>8.41</v>
      </c>
      <c r="AT7" s="14">
        <v>76</v>
      </c>
      <c r="AU7" s="10">
        <v>75</v>
      </c>
      <c r="AV7" s="10">
        <v>18</v>
      </c>
      <c r="AW7" s="10">
        <v>19</v>
      </c>
      <c r="AX7" s="10">
        <v>3</v>
      </c>
      <c r="AY7" s="10">
        <v>4</v>
      </c>
      <c r="AZ7" s="10">
        <v>2</v>
      </c>
      <c r="BA7" s="10">
        <v>2</v>
      </c>
      <c r="BB7" s="8">
        <v>5.94</v>
      </c>
      <c r="BC7" s="8">
        <v>6.3</v>
      </c>
      <c r="BD7" s="16">
        <v>1.39</v>
      </c>
      <c r="BE7" s="8">
        <v>1.62</v>
      </c>
      <c r="BF7" s="8">
        <v>0.24</v>
      </c>
      <c r="BG7" s="8">
        <v>0.28999999999999998</v>
      </c>
      <c r="BH7" s="8">
        <v>0.19</v>
      </c>
      <c r="BI7" s="8">
        <v>0.2</v>
      </c>
      <c r="BJ7" s="10">
        <v>318</v>
      </c>
      <c r="BK7" s="10">
        <v>302</v>
      </c>
      <c r="BL7" s="9">
        <v>10.6</v>
      </c>
      <c r="BM7" s="9">
        <v>9.4</v>
      </c>
      <c r="BN7" s="8">
        <v>0.34</v>
      </c>
      <c r="BO7" s="8">
        <v>0.28000000000000003</v>
      </c>
      <c r="BP7" s="10">
        <v>38</v>
      </c>
      <c r="BQ7" s="14">
        <v>45</v>
      </c>
      <c r="BR7" s="10">
        <v>42</v>
      </c>
      <c r="BS7" s="10">
        <v>39</v>
      </c>
      <c r="BT7" s="8">
        <v>0.12</v>
      </c>
      <c r="BU7" s="8">
        <v>0.17</v>
      </c>
      <c r="BV7" s="10">
        <v>24</v>
      </c>
      <c r="BW7" s="10">
        <v>47</v>
      </c>
      <c r="BX7" s="8">
        <v>0.96</v>
      </c>
      <c r="BY7" s="8">
        <v>1.29</v>
      </c>
      <c r="BZ7" s="10">
        <v>25113915</v>
      </c>
      <c r="CA7" s="10">
        <v>26013632</v>
      </c>
      <c r="CB7" s="12">
        <v>51</v>
      </c>
      <c r="CC7" s="13" t="s">
        <v>118</v>
      </c>
      <c r="CD7" s="17">
        <v>329.9</v>
      </c>
      <c r="CE7" s="17">
        <v>311.60000000000002</v>
      </c>
      <c r="CF7" s="21">
        <f t="shared" si="2"/>
        <v>0.15459230069718097</v>
      </c>
      <c r="CG7" s="11"/>
      <c r="CH7" s="63" t="s">
        <v>129</v>
      </c>
      <c r="CI7" s="63"/>
      <c r="CJ7" s="55" t="s">
        <v>101</v>
      </c>
    </row>
    <row r="8" spans="1:90" x14ac:dyDescent="0.2">
      <c r="A8" s="1" t="s">
        <v>130</v>
      </c>
      <c r="B8" s="1" t="s">
        <v>131</v>
      </c>
      <c r="C8" s="1">
        <v>20230863</v>
      </c>
      <c r="D8" s="2">
        <v>380260101122160</v>
      </c>
      <c r="E8" s="67">
        <v>1</v>
      </c>
      <c r="F8">
        <v>19.3</v>
      </c>
      <c r="G8">
        <v>19.899999999999999</v>
      </c>
      <c r="H8">
        <v>3</v>
      </c>
      <c r="I8">
        <v>3</v>
      </c>
      <c r="J8" s="56">
        <f>DogSample3[[#This Row],[Weight pre (kg)]]*4.5/50</f>
        <v>1.7370000000000001</v>
      </c>
      <c r="M8" s="3">
        <v>43246</v>
      </c>
      <c r="N8" s="3">
        <v>45072</v>
      </c>
      <c r="O8" s="55">
        <f t="shared" si="0"/>
        <v>1826</v>
      </c>
      <c r="P8" s="55" t="s">
        <v>104</v>
      </c>
      <c r="Q8" s="55" t="s">
        <v>105</v>
      </c>
      <c r="R8" s="55" t="s">
        <v>106</v>
      </c>
      <c r="S8" s="4">
        <v>46100</v>
      </c>
      <c r="T8">
        <f t="shared" si="1"/>
        <v>1028</v>
      </c>
      <c r="U8" s="55" t="s">
        <v>96</v>
      </c>
      <c r="V8" s="55" t="s">
        <v>132</v>
      </c>
      <c r="W8" s="55"/>
      <c r="X8" s="3">
        <v>45170</v>
      </c>
      <c r="Y8" s="55" t="s">
        <v>99</v>
      </c>
      <c r="Z8" s="4">
        <v>46100</v>
      </c>
      <c r="AA8" s="61">
        <f>DogSample3[[#This Row],[Behavioural recording start]]+5</f>
        <v>46105</v>
      </c>
      <c r="AB8" s="65">
        <v>10</v>
      </c>
      <c r="AC8" s="4">
        <f>DogSample3[[#This Row],[1st Blood sample]]+1</f>
        <v>46106</v>
      </c>
      <c r="AD8" s="4">
        <f>DogSample3[[#This Row],[Treatment start]]+40</f>
        <v>46146</v>
      </c>
      <c r="AE8" s="5">
        <f>DogSample3[[#This Row],[2nd Behavioural recording start]]+4</f>
        <v>46150</v>
      </c>
      <c r="AF8" s="4">
        <f>DogSample3[[#This Row],[2nd Behavioural recording start]]+5</f>
        <v>46151</v>
      </c>
      <c r="AG8" s="8">
        <v>11.3</v>
      </c>
      <c r="AH8" s="8">
        <v>6.69</v>
      </c>
      <c r="AI8" s="16">
        <v>5.18</v>
      </c>
      <c r="AJ8" s="8">
        <v>14.7</v>
      </c>
      <c r="AK8" s="8">
        <v>12.6</v>
      </c>
      <c r="AL8" s="8">
        <v>46</v>
      </c>
      <c r="AM8" s="8">
        <v>37.200000000000003</v>
      </c>
      <c r="AN8" s="8">
        <v>32</v>
      </c>
      <c r="AO8" s="8">
        <v>33.9</v>
      </c>
      <c r="AP8" s="8">
        <v>12.3</v>
      </c>
      <c r="AQ8" s="8">
        <v>13.2</v>
      </c>
      <c r="AR8" s="8">
        <v>7.54</v>
      </c>
      <c r="AS8" s="8">
        <v>7.07</v>
      </c>
      <c r="AT8" s="10">
        <v>71</v>
      </c>
      <c r="AU8" s="14">
        <v>80</v>
      </c>
      <c r="AV8" s="10">
        <v>22</v>
      </c>
      <c r="AW8" s="10">
        <v>13</v>
      </c>
      <c r="AX8" s="10">
        <v>6</v>
      </c>
      <c r="AY8" s="10">
        <v>8</v>
      </c>
      <c r="AZ8" s="10">
        <v>1</v>
      </c>
      <c r="BA8" s="10">
        <v>2</v>
      </c>
      <c r="BB8" s="8">
        <v>5.35</v>
      </c>
      <c r="BC8" s="8">
        <v>5.66</v>
      </c>
      <c r="BD8" s="8">
        <v>1.66</v>
      </c>
      <c r="BE8" s="16">
        <v>0.89</v>
      </c>
      <c r="BF8" s="8">
        <v>0.45</v>
      </c>
      <c r="BG8" s="8">
        <v>0.55000000000000004</v>
      </c>
      <c r="BH8" s="8">
        <v>0.08</v>
      </c>
      <c r="BI8" s="8">
        <v>0.12</v>
      </c>
      <c r="BJ8" s="10">
        <v>345</v>
      </c>
      <c r="BK8" s="10">
        <v>438</v>
      </c>
      <c r="BL8" s="9">
        <v>9.8000000000000007</v>
      </c>
      <c r="BM8" s="9">
        <v>8.9</v>
      </c>
      <c r="BN8" s="8">
        <v>0.34</v>
      </c>
      <c r="BO8" s="8">
        <v>0.39</v>
      </c>
      <c r="BP8" s="10">
        <v>28</v>
      </c>
      <c r="BQ8" s="14">
        <v>47</v>
      </c>
      <c r="BR8" s="10">
        <v>32</v>
      </c>
      <c r="BS8" s="10">
        <v>29</v>
      </c>
      <c r="BT8" s="8">
        <v>0.09</v>
      </c>
      <c r="BU8" s="8">
        <v>0.19</v>
      </c>
      <c r="BV8" s="10">
        <v>33</v>
      </c>
      <c r="BW8" s="10">
        <v>42</v>
      </c>
      <c r="BX8" s="8">
        <v>0.97</v>
      </c>
      <c r="BY8" s="8">
        <v>0.94</v>
      </c>
      <c r="BZ8" s="10">
        <v>26028530</v>
      </c>
      <c r="CA8" s="68">
        <v>26037948</v>
      </c>
      <c r="CB8" s="12">
        <v>31</v>
      </c>
      <c r="CC8" s="62"/>
      <c r="CD8" s="17">
        <v>361.3</v>
      </c>
      <c r="CE8" s="11"/>
      <c r="CF8" s="21">
        <f t="shared" si="2"/>
        <v>8.5801273180182672E-2</v>
      </c>
      <c r="CG8" s="11" t="e">
        <f>(CC8/CE8)</f>
        <v>#DIV/0!</v>
      </c>
      <c r="CH8" s="18"/>
      <c r="CJ8" s="55" t="s">
        <v>133</v>
      </c>
      <c r="CK8" s="55"/>
      <c r="CL8" s="55" t="s">
        <v>89</v>
      </c>
    </row>
    <row r="9" spans="1:90" x14ac:dyDescent="0.2">
      <c r="A9" s="1" t="s">
        <v>134</v>
      </c>
      <c r="B9" s="1" t="s">
        <v>135</v>
      </c>
      <c r="C9" s="1">
        <v>20210831</v>
      </c>
      <c r="D9" s="2">
        <v>380260044281060</v>
      </c>
      <c r="E9" s="2">
        <v>1</v>
      </c>
      <c r="F9" s="1">
        <v>22.8</v>
      </c>
      <c r="G9" s="1">
        <v>27</v>
      </c>
      <c r="H9" s="1">
        <v>3</v>
      </c>
      <c r="I9" s="1">
        <v>3</v>
      </c>
      <c r="J9" s="56">
        <f>DogSample3[[#This Row],[Weight pre (kg)]]*4.5/50</f>
        <v>2.052</v>
      </c>
      <c r="K9" s="1" t="s">
        <v>136</v>
      </c>
      <c r="L9" s="55"/>
      <c r="M9" s="3">
        <v>43629</v>
      </c>
      <c r="N9" s="3">
        <v>44360</v>
      </c>
      <c r="O9" s="55">
        <f t="shared" si="0"/>
        <v>731</v>
      </c>
      <c r="P9" s="55" t="s">
        <v>104</v>
      </c>
      <c r="Q9" s="55" t="s">
        <v>105</v>
      </c>
      <c r="R9" s="55" t="s">
        <v>106</v>
      </c>
      <c r="S9" s="4">
        <v>46090</v>
      </c>
      <c r="T9">
        <f t="shared" si="1"/>
        <v>1730</v>
      </c>
      <c r="U9" s="55" t="s">
        <v>96</v>
      </c>
      <c r="V9" s="55" t="s">
        <v>137</v>
      </c>
      <c r="W9" s="55" t="s">
        <v>138</v>
      </c>
      <c r="X9" s="3">
        <v>44385</v>
      </c>
      <c r="Y9" s="55" t="s">
        <v>139</v>
      </c>
      <c r="Z9" s="4">
        <v>46090</v>
      </c>
      <c r="AA9" s="61">
        <f>DogSample3[[#This Row],[Behavioural recording start]]+7</f>
        <v>46097</v>
      </c>
      <c r="AB9" s="65">
        <v>10.1</v>
      </c>
      <c r="AC9" s="4">
        <f>DogSample3[[#This Row],[1st Blood sample]]</f>
        <v>46097</v>
      </c>
      <c r="AD9" s="4">
        <f>DogSample3[[#This Row],[Treatment start]]+40</f>
        <v>46137</v>
      </c>
      <c r="AE9" s="5">
        <f>DogSample3[[#This Row],[2nd Behavioural recording start]]+4</f>
        <v>46141</v>
      </c>
      <c r="AF9" s="4">
        <f>DogSample3[[#This Row],[2nd Behavioural recording start]]+5</f>
        <v>46142</v>
      </c>
      <c r="AG9" s="8">
        <v>9.4499999999999993</v>
      </c>
      <c r="AH9" s="8">
        <v>7.16</v>
      </c>
      <c r="AI9" s="8">
        <v>7.4</v>
      </c>
      <c r="AJ9" s="8">
        <v>16.7</v>
      </c>
      <c r="AK9" s="8">
        <v>17.809999999999999</v>
      </c>
      <c r="AL9" s="8">
        <v>47</v>
      </c>
      <c r="AM9" s="8">
        <v>52.2</v>
      </c>
      <c r="AN9" s="8">
        <v>35.5</v>
      </c>
      <c r="AO9" s="8">
        <v>34.1</v>
      </c>
      <c r="AP9" s="8">
        <v>12</v>
      </c>
      <c r="AQ9" s="8">
        <v>14.81</v>
      </c>
      <c r="AR9" s="8">
        <v>8.1</v>
      </c>
      <c r="AS9" s="8">
        <v>9.19</v>
      </c>
      <c r="AT9" s="10">
        <v>67</v>
      </c>
      <c r="AU9" s="10">
        <v>56</v>
      </c>
      <c r="AV9" s="14">
        <v>26</v>
      </c>
      <c r="AW9" s="14">
        <v>30</v>
      </c>
      <c r="AX9" s="10">
        <v>4</v>
      </c>
      <c r="AY9" s="10">
        <v>9</v>
      </c>
      <c r="AZ9" s="10">
        <v>3</v>
      </c>
      <c r="BA9" s="10">
        <v>7</v>
      </c>
      <c r="BB9" s="8">
        <v>5.4</v>
      </c>
      <c r="BC9" s="8">
        <v>5.15</v>
      </c>
      <c r="BD9" s="8">
        <v>2.13</v>
      </c>
      <c r="BE9" s="8">
        <v>2.78</v>
      </c>
      <c r="BF9" s="8">
        <v>0.34</v>
      </c>
      <c r="BG9" s="8">
        <v>0.79</v>
      </c>
      <c r="BH9" s="8">
        <v>0.23</v>
      </c>
      <c r="BI9" s="8">
        <v>0.61</v>
      </c>
      <c r="BJ9" s="10">
        <v>310</v>
      </c>
      <c r="BK9" s="10">
        <v>331</v>
      </c>
      <c r="BL9" s="9">
        <v>11.9</v>
      </c>
      <c r="BM9" s="9">
        <v>9.6999999999999993</v>
      </c>
      <c r="BN9" s="8">
        <v>0.37</v>
      </c>
      <c r="BO9" s="8">
        <v>0.32</v>
      </c>
      <c r="BP9" s="14">
        <v>55</v>
      </c>
      <c r="BQ9" s="14">
        <v>46</v>
      </c>
      <c r="BR9" s="10">
        <v>30</v>
      </c>
      <c r="BS9" s="10">
        <v>32</v>
      </c>
      <c r="BT9" s="8">
        <v>0.1</v>
      </c>
      <c r="BU9" s="8">
        <v>0.32</v>
      </c>
      <c r="BV9" s="10">
        <v>22</v>
      </c>
      <c r="BW9" s="10">
        <v>33</v>
      </c>
      <c r="BX9" s="8">
        <v>0.8</v>
      </c>
      <c r="BY9" s="8">
        <v>0.9</v>
      </c>
      <c r="BZ9" s="69">
        <v>26025637</v>
      </c>
      <c r="CA9" s="68">
        <v>26039682</v>
      </c>
      <c r="CB9" s="70">
        <v>3</v>
      </c>
      <c r="CC9" s="11"/>
      <c r="CD9" s="17">
        <v>304.10000000000002</v>
      </c>
      <c r="CE9" s="17">
        <v>327.60000000000002</v>
      </c>
      <c r="CF9" s="21">
        <f t="shared" si="2"/>
        <v>9.8651759289707323E-3</v>
      </c>
      <c r="CG9" s="11" t="e">
        <f>(CC9/#REF!)</f>
        <v>#REF!</v>
      </c>
      <c r="CH9" s="18"/>
      <c r="CJ9" s="55" t="s">
        <v>101</v>
      </c>
    </row>
    <row r="10" spans="1:90" x14ac:dyDescent="0.2">
      <c r="A10" s="1" t="s">
        <v>140</v>
      </c>
      <c r="B10" s="1" t="s">
        <v>141</v>
      </c>
      <c r="C10" s="1">
        <v>20211642</v>
      </c>
      <c r="D10" s="2">
        <v>380260044446736</v>
      </c>
      <c r="E10" s="67">
        <v>0</v>
      </c>
      <c r="F10" s="1">
        <v>31</v>
      </c>
      <c r="G10" s="1"/>
      <c r="H10" s="1">
        <v>3</v>
      </c>
      <c r="I10" s="1">
        <v>3</v>
      </c>
      <c r="J10" s="1">
        <f>DogSample3[[#This Row],[Weight pre (kg)]]*4.5/50</f>
        <v>2.79</v>
      </c>
      <c r="K10" s="1" t="s">
        <v>92</v>
      </c>
      <c r="M10" s="3">
        <v>43728</v>
      </c>
      <c r="N10" s="3">
        <v>44459</v>
      </c>
      <c r="O10" s="55">
        <f t="shared" si="0"/>
        <v>731</v>
      </c>
      <c r="P10" s="55" t="s">
        <v>104</v>
      </c>
      <c r="Q10" s="55" t="s">
        <v>112</v>
      </c>
      <c r="R10" s="55" t="s">
        <v>95</v>
      </c>
      <c r="S10" s="4">
        <v>45999</v>
      </c>
      <c r="T10">
        <f t="shared" si="1"/>
        <v>1540</v>
      </c>
      <c r="U10" s="55" t="s">
        <v>96</v>
      </c>
      <c r="V10" s="55" t="s">
        <v>137</v>
      </c>
      <c r="W10" s="55"/>
      <c r="X10" s="3">
        <v>44544</v>
      </c>
      <c r="Y10" s="55" t="s">
        <v>99</v>
      </c>
      <c r="Z10" s="4">
        <v>45999</v>
      </c>
      <c r="AA10" s="61">
        <f>DogSample3[[#This Row],[Behavioural recording start]]+5</f>
        <v>46004</v>
      </c>
      <c r="AB10" s="65">
        <v>10.57</v>
      </c>
      <c r="AC10" s="4">
        <f>DogSample3[[#This Row],[1st Blood sample]]+1</f>
        <v>46005</v>
      </c>
      <c r="AD10" s="4">
        <f>DogSample3[[#This Row],[Treatment start]]+40</f>
        <v>46045</v>
      </c>
      <c r="AE10" s="5">
        <f>DogSample3[[#This Row],[2nd Behavioural recording start]]+4</f>
        <v>46049</v>
      </c>
      <c r="AF10" s="4">
        <f>DogSample3[[#This Row],[2nd Behavioural recording start]]+5</f>
        <v>46050</v>
      </c>
      <c r="AG10" s="8">
        <v>11.27</v>
      </c>
      <c r="AH10" s="8">
        <v>7.11</v>
      </c>
      <c r="AI10" s="8">
        <v>7.72</v>
      </c>
      <c r="AJ10" s="8">
        <v>16.7</v>
      </c>
      <c r="AK10" s="8">
        <v>17.8</v>
      </c>
      <c r="AL10" s="8">
        <v>48</v>
      </c>
      <c r="AM10" s="8">
        <v>53.6</v>
      </c>
      <c r="AN10" s="11">
        <v>34.799999999999997</v>
      </c>
      <c r="AO10" s="8">
        <v>33.200000000000003</v>
      </c>
      <c r="AP10" s="8">
        <v>11</v>
      </c>
      <c r="AQ10" s="8">
        <v>11.8</v>
      </c>
      <c r="AR10" s="8">
        <v>6.0659999999999998</v>
      </c>
      <c r="AS10" s="8">
        <v>6.83</v>
      </c>
      <c r="AT10" s="15">
        <v>44</v>
      </c>
      <c r="AU10" s="10">
        <v>57</v>
      </c>
      <c r="AV10" s="14">
        <v>33</v>
      </c>
      <c r="AW10" s="14">
        <v>28</v>
      </c>
      <c r="AX10" s="10">
        <v>8</v>
      </c>
      <c r="AY10" s="10">
        <v>6</v>
      </c>
      <c r="AZ10" s="10">
        <v>15</v>
      </c>
      <c r="BA10" s="14">
        <v>8</v>
      </c>
      <c r="BB10" s="16">
        <v>2.67</v>
      </c>
      <c r="BC10" s="8">
        <v>3.91</v>
      </c>
      <c r="BD10" s="8">
        <v>2</v>
      </c>
      <c r="BE10" s="8">
        <v>1.93</v>
      </c>
      <c r="BF10" s="8">
        <v>0.48</v>
      </c>
      <c r="BG10" s="8">
        <v>0.43</v>
      </c>
      <c r="BH10" s="13">
        <v>0.91</v>
      </c>
      <c r="BI10" s="8">
        <v>0.56999999999999995</v>
      </c>
      <c r="BJ10" s="10">
        <v>233</v>
      </c>
      <c r="BK10" s="10">
        <v>351</v>
      </c>
      <c r="BL10" s="9">
        <v>9.3000000000000007</v>
      </c>
      <c r="BM10" s="9">
        <v>9.3000000000000007</v>
      </c>
      <c r="BN10" s="8">
        <v>0.22</v>
      </c>
      <c r="BO10" s="8">
        <v>0.33</v>
      </c>
      <c r="BP10" s="10">
        <v>34</v>
      </c>
      <c r="BQ10" s="10">
        <v>32</v>
      </c>
      <c r="BR10" s="10">
        <v>15</v>
      </c>
      <c r="BS10" s="10">
        <v>22</v>
      </c>
      <c r="BT10" s="8">
        <v>0.11</v>
      </c>
      <c r="BU10" s="8">
        <v>0.08</v>
      </c>
      <c r="BV10" s="10">
        <v>24</v>
      </c>
      <c r="BW10" s="10">
        <v>25</v>
      </c>
      <c r="BX10" s="8">
        <v>1.1200000000000001</v>
      </c>
      <c r="BY10" s="8">
        <v>1.2</v>
      </c>
      <c r="BZ10" s="71">
        <v>25110747</v>
      </c>
      <c r="CA10" s="10">
        <v>26010573</v>
      </c>
      <c r="CB10" s="12"/>
      <c r="CC10" s="12">
        <v>15</v>
      </c>
      <c r="CD10" s="17">
        <v>184.3</v>
      </c>
      <c r="CE10" s="17">
        <v>357.6</v>
      </c>
      <c r="CF10" s="21">
        <f t="shared" si="2"/>
        <v>0</v>
      </c>
      <c r="CG10" s="11">
        <f t="shared" si="2"/>
        <v>4.194630872483221E-2</v>
      </c>
      <c r="CH10" s="63" t="s">
        <v>129</v>
      </c>
      <c r="CI10" s="18">
        <v>0.26</v>
      </c>
      <c r="CJ10" s="55" t="s">
        <v>101</v>
      </c>
    </row>
    <row r="11" spans="1:90" x14ac:dyDescent="0.2">
      <c r="A11" s="6" t="s">
        <v>142</v>
      </c>
      <c r="B11" s="6" t="s">
        <v>143</v>
      </c>
      <c r="C11" s="6">
        <v>20251374</v>
      </c>
      <c r="D11" s="7">
        <v>380260101244689</v>
      </c>
      <c r="E11" s="7">
        <v>0</v>
      </c>
      <c r="F11" s="6">
        <v>30.1</v>
      </c>
      <c r="G11" s="6">
        <v>30</v>
      </c>
      <c r="H11" s="6">
        <v>3</v>
      </c>
      <c r="I11" s="6">
        <v>3</v>
      </c>
      <c r="J11" s="11">
        <f>DogSample3[[#This Row],[Weight pre (kg)]]*4.5/50</f>
        <v>2.7090000000000005</v>
      </c>
      <c r="K11" s="6"/>
      <c r="L11" s="6"/>
      <c r="M11" s="72">
        <v>43342</v>
      </c>
      <c r="N11" s="72">
        <v>45899</v>
      </c>
      <c r="O11" s="55">
        <f t="shared" si="0"/>
        <v>2557</v>
      </c>
      <c r="P11" s="6" t="s">
        <v>93</v>
      </c>
      <c r="Q11" s="6" t="s">
        <v>94</v>
      </c>
      <c r="R11" s="6" t="s">
        <v>95</v>
      </c>
      <c r="S11" s="72">
        <v>46133</v>
      </c>
      <c r="T11">
        <f t="shared" si="1"/>
        <v>234</v>
      </c>
      <c r="U11" s="6" t="s">
        <v>96</v>
      </c>
      <c r="V11" s="1" t="s">
        <v>144</v>
      </c>
      <c r="W11" s="6" t="s">
        <v>145</v>
      </c>
      <c r="X11" s="72" t="s">
        <v>146</v>
      </c>
      <c r="Y11" s="6" t="s">
        <v>139</v>
      </c>
      <c r="Z11" s="72">
        <v>46133</v>
      </c>
      <c r="AA11" s="61">
        <f>DogSample3[[#This Row],[Behavioural recording start]]+6</f>
        <v>46139</v>
      </c>
      <c r="AB11" s="73">
        <v>10.4</v>
      </c>
      <c r="AC11" s="4">
        <f>DogSample3[[#This Row],[1st Blood sample]]+1</f>
        <v>46140</v>
      </c>
      <c r="AD11" s="4">
        <f>DogSample3[[#This Row],[Treatment start]]+40</f>
        <v>46180</v>
      </c>
      <c r="AE11" s="5">
        <f>DogSample3[[#This Row],[2nd Behavioural recording start]]+4</f>
        <v>46184</v>
      </c>
      <c r="AF11" s="4">
        <f>DogSample3[[#This Row],[2nd Behavioural recording start]]+5</f>
        <v>46185</v>
      </c>
      <c r="AG11" s="11">
        <v>10</v>
      </c>
      <c r="AH11" s="11">
        <v>7.87</v>
      </c>
      <c r="AI11" s="11">
        <v>8.19</v>
      </c>
      <c r="AJ11" s="11">
        <v>17.899999999999999</v>
      </c>
      <c r="AK11" s="13">
        <v>18.010000000000002</v>
      </c>
      <c r="AL11" s="11">
        <v>48.4</v>
      </c>
      <c r="AM11" s="11">
        <v>50.8</v>
      </c>
      <c r="AN11" s="11">
        <v>37</v>
      </c>
      <c r="AO11" s="11">
        <v>35.450000000000003</v>
      </c>
      <c r="AP11" s="11">
        <v>13.8</v>
      </c>
      <c r="AQ11" s="11">
        <v>15</v>
      </c>
      <c r="AR11" s="11">
        <v>9.0500000000000007</v>
      </c>
      <c r="AS11" s="11">
        <v>8.2100000000000009</v>
      </c>
      <c r="AT11" s="7">
        <v>61</v>
      </c>
      <c r="AU11" s="7">
        <v>57</v>
      </c>
      <c r="AV11" s="7">
        <v>24</v>
      </c>
      <c r="AW11" s="14">
        <v>27</v>
      </c>
      <c r="AX11" s="7">
        <v>5</v>
      </c>
      <c r="AY11" s="7">
        <v>6</v>
      </c>
      <c r="AZ11" s="14">
        <v>10</v>
      </c>
      <c r="BA11" s="14">
        <v>11</v>
      </c>
      <c r="BB11" s="11">
        <v>5.52</v>
      </c>
      <c r="BC11" s="11">
        <v>4.68</v>
      </c>
      <c r="BD11" s="11">
        <v>2.2000000000000002</v>
      </c>
      <c r="BE11" s="11">
        <v>2.23</v>
      </c>
      <c r="BF11" s="11">
        <v>0.47</v>
      </c>
      <c r="BG11" s="11">
        <v>0.5</v>
      </c>
      <c r="BH11" s="13">
        <v>0.93</v>
      </c>
      <c r="BI11" s="13">
        <v>0.89</v>
      </c>
      <c r="BJ11" s="7">
        <v>387</v>
      </c>
      <c r="BK11" s="7">
        <v>346</v>
      </c>
      <c r="BL11" s="17">
        <v>10.9</v>
      </c>
      <c r="BM11" s="17">
        <v>11</v>
      </c>
      <c r="BN11" s="11">
        <v>0.42</v>
      </c>
      <c r="BO11" s="11">
        <v>0.38</v>
      </c>
      <c r="BP11" s="7">
        <v>35</v>
      </c>
      <c r="BQ11" s="7">
        <v>39</v>
      </c>
      <c r="BR11" s="7">
        <v>34</v>
      </c>
      <c r="BS11" s="7">
        <v>38</v>
      </c>
      <c r="BT11" s="11">
        <v>0.14000000000000001</v>
      </c>
      <c r="BU11" s="11">
        <v>0.24</v>
      </c>
      <c r="BV11" s="7">
        <v>27</v>
      </c>
      <c r="BW11" s="7">
        <v>33</v>
      </c>
      <c r="BX11" s="11">
        <v>0.95</v>
      </c>
      <c r="BY11" s="11">
        <v>1.08</v>
      </c>
      <c r="BZ11" s="7">
        <v>26038240</v>
      </c>
      <c r="CA11" s="72"/>
      <c r="CB11" s="14" t="s">
        <v>118</v>
      </c>
      <c r="CC11" s="11"/>
      <c r="CD11" s="17">
        <v>379.1</v>
      </c>
      <c r="CE11" s="11"/>
      <c r="CF11" s="21" t="e">
        <f t="shared" si="2"/>
        <v>#VALUE!</v>
      </c>
      <c r="CG11" s="11" t="e">
        <f t="shared" si="2"/>
        <v>#DIV/0!</v>
      </c>
      <c r="CH11" s="74"/>
      <c r="CI11" s="74"/>
      <c r="CJ11" s="6" t="s">
        <v>101</v>
      </c>
      <c r="CK11" s="6"/>
      <c r="CL11" s="6"/>
    </row>
    <row r="12" spans="1:90" x14ac:dyDescent="0.2">
      <c r="A12" s="6" t="s">
        <v>147</v>
      </c>
      <c r="B12" s="6" t="s">
        <v>148</v>
      </c>
      <c r="C12" s="75">
        <v>20240759</v>
      </c>
      <c r="D12" s="76">
        <v>380260044979816</v>
      </c>
      <c r="E12" s="7">
        <v>1</v>
      </c>
      <c r="F12" s="75">
        <v>43</v>
      </c>
      <c r="G12" s="75">
        <v>41.2</v>
      </c>
      <c r="H12" s="75">
        <v>3</v>
      </c>
      <c r="I12" s="75">
        <v>3</v>
      </c>
      <c r="J12" s="75">
        <f>DogSample3[[#This Row],[Weight pre (kg)]]*4.5/50</f>
        <v>3.87</v>
      </c>
      <c r="K12" s="75" t="s">
        <v>92</v>
      </c>
      <c r="L12" s="6"/>
      <c r="M12" s="77">
        <v>45063</v>
      </c>
      <c r="N12" s="77">
        <v>45428</v>
      </c>
      <c r="O12" s="6">
        <f t="shared" si="0"/>
        <v>365</v>
      </c>
      <c r="P12" s="6" t="s">
        <v>104</v>
      </c>
      <c r="Q12" s="6" t="s">
        <v>94</v>
      </c>
      <c r="R12" s="6" t="s">
        <v>95</v>
      </c>
      <c r="S12" s="4">
        <v>46105</v>
      </c>
      <c r="T12" s="6">
        <f t="shared" si="1"/>
        <v>677</v>
      </c>
      <c r="U12" s="6" t="s">
        <v>96</v>
      </c>
      <c r="V12" s="6" t="s">
        <v>137</v>
      </c>
      <c r="W12" s="6"/>
      <c r="X12" s="77">
        <v>45447</v>
      </c>
      <c r="Y12" s="6" t="s">
        <v>99</v>
      </c>
      <c r="Z12" s="4">
        <v>46105</v>
      </c>
      <c r="AA12" s="72">
        <f>DogSample3[[#This Row],[Behavioural recording start]]+4</f>
        <v>46109</v>
      </c>
      <c r="AB12" s="73">
        <v>10.53</v>
      </c>
      <c r="AC12" s="72">
        <f>DogSample3[[#This Row],[1st Blood sample]]+4</f>
        <v>46113</v>
      </c>
      <c r="AD12" s="72">
        <f>DogSample3[[#This Row],[Treatment start]]+40</f>
        <v>46153</v>
      </c>
      <c r="AE12" s="5">
        <f>DogSample3[[#This Row],[2nd Behavioural recording start]]+4</f>
        <v>46157</v>
      </c>
      <c r="AF12" s="72">
        <f>DogSample3[[#This Row],[2nd Behavioural recording start]]+5</f>
        <v>46158</v>
      </c>
      <c r="AG12" s="11">
        <v>10.42</v>
      </c>
      <c r="AH12" s="11">
        <v>7.91</v>
      </c>
      <c r="AI12" s="11">
        <v>7.77</v>
      </c>
      <c r="AJ12" s="13">
        <v>18.309999999999999</v>
      </c>
      <c r="AK12" s="11">
        <v>17.7</v>
      </c>
      <c r="AL12" s="11">
        <v>51.1</v>
      </c>
      <c r="AM12" s="11">
        <v>48.9</v>
      </c>
      <c r="AN12" s="11">
        <v>35.799999999999997</v>
      </c>
      <c r="AO12" s="11">
        <v>36.200000000000003</v>
      </c>
      <c r="AP12" s="11">
        <v>13.1</v>
      </c>
      <c r="AQ12" s="11">
        <v>12.2</v>
      </c>
      <c r="AR12" s="11">
        <v>5.64</v>
      </c>
      <c r="AS12" s="11">
        <v>7.44</v>
      </c>
      <c r="AT12" s="14">
        <v>47</v>
      </c>
      <c r="AU12" s="7">
        <v>56</v>
      </c>
      <c r="AV12" s="14">
        <v>44</v>
      </c>
      <c r="AW12" s="14">
        <v>33</v>
      </c>
      <c r="AX12" s="7">
        <v>5</v>
      </c>
      <c r="AY12" s="7">
        <v>8</v>
      </c>
      <c r="AZ12" s="7">
        <v>6</v>
      </c>
      <c r="BA12" s="7">
        <v>7</v>
      </c>
      <c r="BB12" s="11">
        <v>2.65</v>
      </c>
      <c r="BC12" s="11">
        <v>4.17</v>
      </c>
      <c r="BD12" s="11">
        <v>2.46</v>
      </c>
      <c r="BE12" s="11">
        <v>2.46</v>
      </c>
      <c r="BF12" s="11">
        <v>0.28999999999999998</v>
      </c>
      <c r="BG12" s="11">
        <v>0.35</v>
      </c>
      <c r="BH12" s="11">
        <v>0.33</v>
      </c>
      <c r="BI12" s="11">
        <v>0.55000000000000004</v>
      </c>
      <c r="BJ12" s="7">
        <v>191</v>
      </c>
      <c r="BK12" s="7">
        <v>177</v>
      </c>
      <c r="BL12" s="17">
        <v>11.5</v>
      </c>
      <c r="BM12" s="17">
        <v>11</v>
      </c>
      <c r="BN12" s="11">
        <v>0.22</v>
      </c>
      <c r="BO12" s="11">
        <v>0.19</v>
      </c>
      <c r="BP12" s="7">
        <v>40</v>
      </c>
      <c r="BQ12" s="7">
        <v>35</v>
      </c>
      <c r="BR12" s="7">
        <v>21</v>
      </c>
      <c r="BS12" s="7">
        <v>19</v>
      </c>
      <c r="BT12" s="11">
        <v>0.12</v>
      </c>
      <c r="BU12" s="11">
        <v>0.14000000000000001</v>
      </c>
      <c r="BV12" s="7">
        <v>32</v>
      </c>
      <c r="BW12" s="7">
        <v>39</v>
      </c>
      <c r="BX12" s="11">
        <v>1.08</v>
      </c>
      <c r="BY12" s="11">
        <v>1.39</v>
      </c>
      <c r="BZ12" s="10">
        <v>26030483</v>
      </c>
      <c r="CA12" s="10">
        <v>26044355</v>
      </c>
      <c r="CB12" s="70">
        <v>6</v>
      </c>
      <c r="CC12" s="62"/>
      <c r="CD12" s="17">
        <v>311.5</v>
      </c>
      <c r="CE12" s="11"/>
      <c r="CF12" s="21">
        <f t="shared" si="2"/>
        <v>1.9261637239165328E-2</v>
      </c>
      <c r="CG12" s="11" t="e">
        <f t="shared" si="2"/>
        <v>#DIV/0!</v>
      </c>
      <c r="CH12" s="22"/>
      <c r="CI12" s="78"/>
      <c r="CJ12" s="79" t="s">
        <v>101</v>
      </c>
      <c r="CK12" s="20"/>
      <c r="CL12" s="20"/>
    </row>
    <row r="13" spans="1:90" x14ac:dyDescent="0.2">
      <c r="A13" s="1" t="s">
        <v>149</v>
      </c>
      <c r="B13" s="1" t="s">
        <v>150</v>
      </c>
      <c r="C13" s="1">
        <v>20210312</v>
      </c>
      <c r="D13" s="2">
        <v>380260044541263</v>
      </c>
      <c r="E13" s="67">
        <v>1</v>
      </c>
      <c r="F13" s="1">
        <v>27.6</v>
      </c>
      <c r="G13" s="1">
        <v>29</v>
      </c>
      <c r="H13" s="1">
        <v>3</v>
      </c>
      <c r="I13" s="1">
        <v>3</v>
      </c>
      <c r="J13" s="56">
        <f>DogSample3[[#This Row],[Weight pre (kg)]]*4.5/50</f>
        <v>2.484</v>
      </c>
      <c r="K13" s="1" t="s">
        <v>136</v>
      </c>
      <c r="L13" s="1" t="s">
        <v>151</v>
      </c>
      <c r="M13" s="3">
        <v>44054</v>
      </c>
      <c r="N13" s="3">
        <v>44267</v>
      </c>
      <c r="O13" s="55">
        <f t="shared" si="0"/>
        <v>213</v>
      </c>
      <c r="P13" s="55" t="s">
        <v>104</v>
      </c>
      <c r="Q13" s="55" t="s">
        <v>105</v>
      </c>
      <c r="R13" s="55" t="s">
        <v>95</v>
      </c>
      <c r="S13" s="4">
        <v>46109</v>
      </c>
      <c r="T13">
        <f t="shared" si="1"/>
        <v>1842</v>
      </c>
      <c r="U13" s="55" t="s">
        <v>96</v>
      </c>
      <c r="V13" s="55" t="s">
        <v>137</v>
      </c>
      <c r="W13" s="55"/>
      <c r="X13" s="3">
        <v>44327</v>
      </c>
      <c r="Y13" s="55" t="s">
        <v>99</v>
      </c>
      <c r="Z13" s="4">
        <v>46109</v>
      </c>
      <c r="AA13" s="61">
        <f>DogSample3[[#This Row],[Behavioural recording start]]+4</f>
        <v>46113</v>
      </c>
      <c r="AB13" s="65">
        <v>10</v>
      </c>
      <c r="AC13" s="4">
        <f>DogSample3[[#This Row],[1st Blood sample]]+1</f>
        <v>46114</v>
      </c>
      <c r="AD13" s="4">
        <f>DogSample3[[#This Row],[Treatment start]]+40</f>
        <v>46154</v>
      </c>
      <c r="AE13" s="5">
        <f>DogSample3[[#This Row],[2nd Behavioural recording start]]+4</f>
        <v>46158</v>
      </c>
      <c r="AF13" s="4">
        <f>DogSample3[[#This Row],[2nd Behavioural recording start]]+5</f>
        <v>46159</v>
      </c>
      <c r="AG13" s="8">
        <v>9.49</v>
      </c>
      <c r="AH13" s="8">
        <v>7.01</v>
      </c>
      <c r="AI13" s="8">
        <v>7.61</v>
      </c>
      <c r="AJ13" s="8">
        <v>15.5</v>
      </c>
      <c r="AK13" s="8">
        <v>17</v>
      </c>
      <c r="AL13" s="8">
        <v>43.9</v>
      </c>
      <c r="AM13" s="8">
        <v>48.1</v>
      </c>
      <c r="AN13" s="66">
        <v>35.299999999999997</v>
      </c>
      <c r="AO13" s="8">
        <v>35.299999999999997</v>
      </c>
      <c r="AP13" s="8">
        <v>13.3</v>
      </c>
      <c r="AQ13" s="13">
        <v>16.010000000000002</v>
      </c>
      <c r="AR13" s="8">
        <v>6.15</v>
      </c>
      <c r="AS13" s="8">
        <v>10.64</v>
      </c>
      <c r="AT13" s="10">
        <v>59</v>
      </c>
      <c r="AU13" s="10">
        <v>72</v>
      </c>
      <c r="AV13" s="14">
        <v>27</v>
      </c>
      <c r="AW13" s="10">
        <v>19</v>
      </c>
      <c r="AX13" s="10">
        <v>10</v>
      </c>
      <c r="AY13" s="10">
        <v>7</v>
      </c>
      <c r="AZ13" s="10">
        <v>5</v>
      </c>
      <c r="BA13" s="10">
        <v>3</v>
      </c>
      <c r="BB13" s="8">
        <v>3.63</v>
      </c>
      <c r="BC13" s="8">
        <v>7.66</v>
      </c>
      <c r="BD13" s="8">
        <v>1.68</v>
      </c>
      <c r="BE13" s="8">
        <v>2</v>
      </c>
      <c r="BF13" s="8">
        <v>0.61</v>
      </c>
      <c r="BG13" s="8">
        <v>0.77</v>
      </c>
      <c r="BH13" s="8">
        <v>0.31</v>
      </c>
      <c r="BI13" s="8">
        <v>0.35</v>
      </c>
      <c r="BJ13" s="10">
        <v>166</v>
      </c>
      <c r="BK13" s="10">
        <v>214</v>
      </c>
      <c r="BL13" s="9">
        <v>11</v>
      </c>
      <c r="BM13" s="9">
        <v>10.7</v>
      </c>
      <c r="BN13" s="8">
        <v>0.18</v>
      </c>
      <c r="BO13" s="8">
        <v>0.23</v>
      </c>
      <c r="BP13" s="14">
        <v>49</v>
      </c>
      <c r="BQ13" s="14">
        <v>59</v>
      </c>
      <c r="BR13" s="10">
        <v>43</v>
      </c>
      <c r="BS13" s="10">
        <v>34</v>
      </c>
      <c r="BT13" s="8">
        <v>0.13</v>
      </c>
      <c r="BU13" s="8">
        <v>0.23</v>
      </c>
      <c r="BV13" s="10">
        <v>27</v>
      </c>
      <c r="BW13" s="10">
        <v>26</v>
      </c>
      <c r="BX13" s="8">
        <v>0.83</v>
      </c>
      <c r="BY13" s="8">
        <v>0.82</v>
      </c>
      <c r="BZ13" s="10">
        <v>26031317</v>
      </c>
      <c r="CA13" s="4"/>
      <c r="CB13" s="12">
        <v>29</v>
      </c>
      <c r="CC13" s="62"/>
      <c r="CD13" s="17">
        <v>292.2</v>
      </c>
      <c r="CE13" s="11"/>
      <c r="CF13" s="21">
        <f t="shared" si="2"/>
        <v>9.9247091033538681E-2</v>
      </c>
      <c r="CG13" s="11" t="e">
        <f t="shared" si="2"/>
        <v>#DIV/0!</v>
      </c>
      <c r="CH13" s="18"/>
      <c r="CJ13" s="6" t="s">
        <v>101</v>
      </c>
    </row>
    <row r="14" spans="1:90" x14ac:dyDescent="0.2">
      <c r="A14" s="1" t="s">
        <v>152</v>
      </c>
      <c r="B14" s="1" t="s">
        <v>153</v>
      </c>
      <c r="C14" s="1">
        <v>20201218</v>
      </c>
      <c r="D14" s="2">
        <v>380260044280921</v>
      </c>
      <c r="E14" s="67">
        <v>1</v>
      </c>
      <c r="F14" s="1">
        <v>24.9</v>
      </c>
      <c r="G14" s="1">
        <v>23.7</v>
      </c>
      <c r="H14" s="1">
        <v>3</v>
      </c>
      <c r="I14" s="1">
        <v>3</v>
      </c>
      <c r="J14" s="56">
        <f>DogSample3[[#This Row],[Weight pre (kg)]]*4.5/50</f>
        <v>2.2410000000000001</v>
      </c>
      <c r="K14" s="1" t="s">
        <v>92</v>
      </c>
      <c r="M14" s="3">
        <v>43698</v>
      </c>
      <c r="N14" s="3">
        <v>44064</v>
      </c>
      <c r="O14" s="55">
        <f t="shared" si="0"/>
        <v>366</v>
      </c>
      <c r="P14" s="55" t="s">
        <v>104</v>
      </c>
      <c r="Q14" s="55" t="s">
        <v>105</v>
      </c>
      <c r="R14" s="55" t="s">
        <v>106</v>
      </c>
      <c r="S14" s="61">
        <v>45960</v>
      </c>
      <c r="T14" s="55">
        <f t="shared" si="1"/>
        <v>1896</v>
      </c>
      <c r="U14" s="55" t="s">
        <v>96</v>
      </c>
      <c r="V14" s="55" t="s">
        <v>107</v>
      </c>
      <c r="W14" s="55"/>
      <c r="X14" s="3">
        <v>44144</v>
      </c>
      <c r="Y14" s="55" t="s">
        <v>99</v>
      </c>
      <c r="Z14" s="61">
        <v>45960</v>
      </c>
      <c r="AA14" s="61">
        <f>DogSample3[[#This Row],[Behavioural recording start]]+5</f>
        <v>45965</v>
      </c>
      <c r="AB14" s="65">
        <v>10</v>
      </c>
      <c r="AC14" s="4">
        <f>DogSample3[[#This Row],[1st Blood sample]]+1</f>
        <v>45966</v>
      </c>
      <c r="AD14" s="4">
        <f>DogSample3[[#This Row],[Treatment start]]+40</f>
        <v>46006</v>
      </c>
      <c r="AE14" s="5">
        <f>DogSample3[[#This Row],[2nd Behavioural recording start]]+4</f>
        <v>46010</v>
      </c>
      <c r="AF14" s="4">
        <f>DogSample3[[#This Row],[2nd Behavioural recording start]]+5</f>
        <v>46011</v>
      </c>
      <c r="AG14" s="8">
        <v>11.03</v>
      </c>
      <c r="AH14" s="8">
        <v>7.9</v>
      </c>
      <c r="AI14" s="8">
        <v>7.72</v>
      </c>
      <c r="AJ14" s="13">
        <v>18.7</v>
      </c>
      <c r="AK14" s="13">
        <v>18.5</v>
      </c>
      <c r="AL14" s="8">
        <v>53.4</v>
      </c>
      <c r="AM14" s="8">
        <v>53.5</v>
      </c>
      <c r="AN14" s="8">
        <v>35</v>
      </c>
      <c r="AO14" s="8">
        <v>34.6</v>
      </c>
      <c r="AP14" s="8">
        <v>11.3</v>
      </c>
      <c r="AQ14" s="8">
        <v>11.2</v>
      </c>
      <c r="AR14" s="8">
        <v>9.4499999999999993</v>
      </c>
      <c r="AS14" s="8">
        <v>8.2899999999999991</v>
      </c>
      <c r="AT14" s="10">
        <v>70</v>
      </c>
      <c r="AU14" s="10">
        <v>69</v>
      </c>
      <c r="AV14" s="10">
        <v>23</v>
      </c>
      <c r="AW14" s="10">
        <v>22</v>
      </c>
      <c r="AX14" s="10">
        <v>3</v>
      </c>
      <c r="AY14" s="10">
        <v>3</v>
      </c>
      <c r="AZ14" s="10">
        <v>4</v>
      </c>
      <c r="BA14" s="10">
        <v>5</v>
      </c>
      <c r="BB14" s="8">
        <v>6.62</v>
      </c>
      <c r="BC14" s="8">
        <v>5.75</v>
      </c>
      <c r="BD14" s="8">
        <v>2.17</v>
      </c>
      <c r="BE14" s="8">
        <v>1.86</v>
      </c>
      <c r="BF14" s="8">
        <v>0.28000000000000003</v>
      </c>
      <c r="BG14" s="8">
        <v>0.26</v>
      </c>
      <c r="BH14" s="8">
        <v>0.38</v>
      </c>
      <c r="BI14" s="8">
        <v>0.42</v>
      </c>
      <c r="BJ14" s="10">
        <v>272</v>
      </c>
      <c r="BK14" s="10">
        <v>303</v>
      </c>
      <c r="BL14" s="9">
        <v>11.1</v>
      </c>
      <c r="BM14" s="9">
        <v>9.5</v>
      </c>
      <c r="BN14" s="8">
        <v>0.3</v>
      </c>
      <c r="BO14" s="8">
        <v>0.28999999999999998</v>
      </c>
      <c r="BP14" s="14">
        <v>48</v>
      </c>
      <c r="BQ14" s="14">
        <v>42</v>
      </c>
      <c r="BR14" s="10">
        <v>52</v>
      </c>
      <c r="BS14" s="10">
        <v>49</v>
      </c>
      <c r="BT14" s="8">
        <v>0.12</v>
      </c>
      <c r="BU14" s="8">
        <v>0.08</v>
      </c>
      <c r="BV14" s="10">
        <v>28</v>
      </c>
      <c r="BW14" s="10">
        <v>30</v>
      </c>
      <c r="BX14" s="8">
        <v>0.96</v>
      </c>
      <c r="BY14" s="8">
        <v>0.96</v>
      </c>
      <c r="BZ14" s="10">
        <v>25094653</v>
      </c>
      <c r="CA14">
        <v>25114652</v>
      </c>
      <c r="CB14" s="12">
        <v>51</v>
      </c>
      <c r="CC14" s="12">
        <v>61</v>
      </c>
      <c r="CD14" s="80">
        <v>325.5</v>
      </c>
      <c r="CE14" s="80">
        <v>367.3</v>
      </c>
      <c r="CF14" s="21">
        <f t="shared" si="2"/>
        <v>0.15668202764976957</v>
      </c>
      <c r="CG14" s="11">
        <f t="shared" si="2"/>
        <v>0.16607677647699429</v>
      </c>
      <c r="CH14" s="63" t="s">
        <v>129</v>
      </c>
      <c r="CI14" s="63" t="s">
        <v>129</v>
      </c>
      <c r="CJ14" s="6" t="s">
        <v>101</v>
      </c>
    </row>
    <row r="15" spans="1:90" x14ac:dyDescent="0.2">
      <c r="A15" s="1" t="s">
        <v>154</v>
      </c>
      <c r="B15" s="1" t="s">
        <v>155</v>
      </c>
      <c r="C15" s="1">
        <v>20250507</v>
      </c>
      <c r="D15" s="2">
        <v>380260044980879</v>
      </c>
      <c r="E15" s="2">
        <v>1</v>
      </c>
      <c r="F15" s="1">
        <v>28.2</v>
      </c>
      <c r="G15" s="1">
        <v>27.65</v>
      </c>
      <c r="H15" s="1">
        <v>4</v>
      </c>
      <c r="I15" s="1">
        <v>4</v>
      </c>
      <c r="J15" s="56">
        <f>DogSample3[[#This Row],[Weight pre (kg)]]*4.5/50</f>
        <v>2.5379999999999998</v>
      </c>
      <c r="K15" s="1" t="s">
        <v>92</v>
      </c>
      <c r="L15" s="1"/>
      <c r="M15" s="3">
        <v>45030</v>
      </c>
      <c r="N15" s="3">
        <v>45760</v>
      </c>
      <c r="O15" s="55">
        <f t="shared" si="0"/>
        <v>730</v>
      </c>
      <c r="P15" s="55" t="s">
        <v>104</v>
      </c>
      <c r="Q15" s="55" t="s">
        <v>105</v>
      </c>
      <c r="R15" s="55" t="s">
        <v>95</v>
      </c>
      <c r="S15" s="4">
        <v>46100</v>
      </c>
      <c r="T15">
        <f t="shared" si="1"/>
        <v>340</v>
      </c>
      <c r="U15" s="55" t="s">
        <v>96</v>
      </c>
      <c r="V15" s="55" t="s">
        <v>122</v>
      </c>
      <c r="W15" s="55" t="s">
        <v>156</v>
      </c>
      <c r="X15" s="3" t="s">
        <v>157</v>
      </c>
      <c r="Y15" s="55" t="s">
        <v>158</v>
      </c>
      <c r="Z15" s="4">
        <v>46100</v>
      </c>
      <c r="AA15" s="61">
        <f>DogSample3[[#This Row],[Behavioural recording start]]+7</f>
        <v>46107</v>
      </c>
      <c r="AB15" s="65">
        <v>10.46</v>
      </c>
      <c r="AC15" s="4">
        <f>DogSample3[[#This Row],[1st Blood sample]]+1</f>
        <v>46108</v>
      </c>
      <c r="AD15" s="4">
        <f>DogSample3[[#This Row],[Treatment start]]+40</f>
        <v>46148</v>
      </c>
      <c r="AE15" s="5">
        <f>DogSample3[[#This Row],[2nd Behavioural recording start]]+4</f>
        <v>46152</v>
      </c>
      <c r="AF15" s="4">
        <f>DogSample3[[#This Row],[2nd Behavioural recording start]]+5</f>
        <v>46153</v>
      </c>
      <c r="AG15" s="8">
        <v>10.36</v>
      </c>
      <c r="AH15" s="8">
        <v>7.82</v>
      </c>
      <c r="AI15" s="8">
        <v>7.75</v>
      </c>
      <c r="AJ15" s="8">
        <v>17.100000000000001</v>
      </c>
      <c r="AK15" s="13">
        <v>18.41</v>
      </c>
      <c r="AL15" s="8">
        <v>52.7</v>
      </c>
      <c r="AM15" s="8">
        <v>50.7</v>
      </c>
      <c r="AN15" s="8">
        <v>32.4</v>
      </c>
      <c r="AO15" s="8">
        <v>36.299999999999997</v>
      </c>
      <c r="AP15" s="8">
        <v>11.3</v>
      </c>
      <c r="AQ15" s="13">
        <v>15.31</v>
      </c>
      <c r="AR15" s="8">
        <v>10.41</v>
      </c>
      <c r="AS15" s="8">
        <v>11.34</v>
      </c>
      <c r="AT15" s="10">
        <v>65</v>
      </c>
      <c r="AU15" s="10">
        <v>63</v>
      </c>
      <c r="AV15" s="10">
        <v>24</v>
      </c>
      <c r="AW15" s="10">
        <v>23</v>
      </c>
      <c r="AX15" s="10">
        <v>5</v>
      </c>
      <c r="AY15" s="10">
        <v>7</v>
      </c>
      <c r="AZ15" s="10">
        <v>5</v>
      </c>
      <c r="BA15" s="10">
        <v>8</v>
      </c>
      <c r="BB15" s="8">
        <v>6.81</v>
      </c>
      <c r="BC15" s="8">
        <v>7.14</v>
      </c>
      <c r="BD15" s="8">
        <v>2.5</v>
      </c>
      <c r="BE15" s="8">
        <v>2.61</v>
      </c>
      <c r="BF15" s="8">
        <v>0.56000000000000005</v>
      </c>
      <c r="BG15" s="8">
        <v>0.8</v>
      </c>
      <c r="BH15" s="8">
        <v>0.54</v>
      </c>
      <c r="BI15" s="13">
        <v>0.86</v>
      </c>
      <c r="BJ15" s="10">
        <v>226</v>
      </c>
      <c r="BK15" s="10">
        <v>222</v>
      </c>
      <c r="BL15" s="9">
        <v>11.2</v>
      </c>
      <c r="BM15" s="10">
        <v>11</v>
      </c>
      <c r="BN15" s="8">
        <v>0.25</v>
      </c>
      <c r="BO15" s="8">
        <v>0.24</v>
      </c>
      <c r="BP15" s="14">
        <v>42</v>
      </c>
      <c r="BQ15" s="14">
        <v>46</v>
      </c>
      <c r="BR15" s="10">
        <v>38</v>
      </c>
      <c r="BS15" s="10">
        <v>37</v>
      </c>
      <c r="BT15" s="8">
        <v>0.16</v>
      </c>
      <c r="BU15" s="8">
        <v>0.21</v>
      </c>
      <c r="BV15" s="10">
        <v>22</v>
      </c>
      <c r="BW15" s="10">
        <v>34</v>
      </c>
      <c r="BX15" s="8">
        <v>0.85</v>
      </c>
      <c r="BY15" s="8">
        <v>1.05</v>
      </c>
      <c r="BZ15" s="10">
        <v>26029428</v>
      </c>
      <c r="CA15" s="4"/>
      <c r="CB15" s="12">
        <v>30</v>
      </c>
      <c r="CC15" s="12"/>
      <c r="CD15" s="17">
        <v>322.7</v>
      </c>
      <c r="CE15" s="11"/>
      <c r="CF15" s="21">
        <f t="shared" si="2"/>
        <v>9.2965602726991017E-2</v>
      </c>
      <c r="CG15" s="11" t="e">
        <f t="shared" si="2"/>
        <v>#DIV/0!</v>
      </c>
      <c r="CH15" s="18"/>
      <c r="CJ15" s="55" t="s">
        <v>101</v>
      </c>
    </row>
    <row r="16" spans="1:90" x14ac:dyDescent="0.2">
      <c r="A16" s="1" t="s">
        <v>159</v>
      </c>
      <c r="B16" s="1" t="s">
        <v>160</v>
      </c>
      <c r="C16" s="1">
        <v>20231419</v>
      </c>
      <c r="D16" s="2">
        <v>380260101976120</v>
      </c>
      <c r="E16" s="2">
        <v>0</v>
      </c>
      <c r="F16" s="1">
        <v>23.2</v>
      </c>
      <c r="G16" s="1">
        <v>22.5</v>
      </c>
      <c r="H16" s="1">
        <v>3</v>
      </c>
      <c r="I16" s="1">
        <v>3</v>
      </c>
      <c r="J16" s="56">
        <f>DogSample3[[#This Row],[Weight pre (kg)]]*4.5/50</f>
        <v>2.0879999999999996</v>
      </c>
      <c r="K16" s="1" t="s">
        <v>161</v>
      </c>
      <c r="M16" s="3">
        <v>44402</v>
      </c>
      <c r="N16" s="3">
        <v>45133</v>
      </c>
      <c r="O16" s="55">
        <f t="shared" si="0"/>
        <v>731</v>
      </c>
      <c r="P16" s="55" t="s">
        <v>93</v>
      </c>
      <c r="Q16" s="55" t="s">
        <v>105</v>
      </c>
      <c r="R16" s="55" t="s">
        <v>106</v>
      </c>
      <c r="S16" s="4">
        <v>46040</v>
      </c>
      <c r="T16">
        <f t="shared" si="1"/>
        <v>907</v>
      </c>
      <c r="U16" s="55" t="s">
        <v>96</v>
      </c>
      <c r="V16" s="55" t="s">
        <v>97</v>
      </c>
      <c r="W16" s="55"/>
      <c r="X16" s="3">
        <v>45174</v>
      </c>
      <c r="Y16" s="55" t="s">
        <v>99</v>
      </c>
      <c r="Z16" s="4">
        <v>46040</v>
      </c>
      <c r="AA16" s="61">
        <f>DogSample3[[#This Row],[Behavioural recording start]]+5</f>
        <v>46045</v>
      </c>
      <c r="AB16" s="65">
        <v>9.4499999999999993</v>
      </c>
      <c r="AC16" s="4">
        <f>DogSample3[[#This Row],[1st Blood sample]]+1</f>
        <v>46046</v>
      </c>
      <c r="AD16" s="4">
        <f>DogSample3[[#This Row],[Treatment start]]+40</f>
        <v>46086</v>
      </c>
      <c r="AE16" s="5">
        <f>DogSample3[[#This Row],[2nd Behavioural recording start]]+4</f>
        <v>46090</v>
      </c>
      <c r="AF16" s="4">
        <f>DogSample3[[#This Row],[2nd Behavioural recording start]]+5</f>
        <v>46091</v>
      </c>
      <c r="AG16" s="8">
        <v>10</v>
      </c>
      <c r="AH16" s="8">
        <v>7.55</v>
      </c>
      <c r="AI16" s="8">
        <v>7.72</v>
      </c>
      <c r="AJ16" s="13">
        <v>18.309999999999999</v>
      </c>
      <c r="AK16" s="8">
        <v>17.399999999999999</v>
      </c>
      <c r="AL16" s="8">
        <v>50.5</v>
      </c>
      <c r="AM16" s="8">
        <v>52.5</v>
      </c>
      <c r="AN16" s="66">
        <v>36.200000000000003</v>
      </c>
      <c r="AO16" s="8">
        <v>33.1</v>
      </c>
      <c r="AP16" s="8">
        <v>13.4</v>
      </c>
      <c r="AQ16" s="8">
        <v>11.5</v>
      </c>
      <c r="AR16" s="8">
        <v>6.32</v>
      </c>
      <c r="AS16" s="8">
        <v>5.99</v>
      </c>
      <c r="AT16" s="10">
        <v>72</v>
      </c>
      <c r="AU16" s="10">
        <v>71</v>
      </c>
      <c r="AV16" s="10">
        <v>18</v>
      </c>
      <c r="AW16" s="10">
        <v>24</v>
      </c>
      <c r="AX16" s="10">
        <v>9</v>
      </c>
      <c r="AY16" s="10">
        <v>3</v>
      </c>
      <c r="AZ16" s="10">
        <v>2</v>
      </c>
      <c r="BA16" s="10">
        <v>2</v>
      </c>
      <c r="BB16" s="8">
        <v>4.78</v>
      </c>
      <c r="BC16" s="8">
        <v>4.25</v>
      </c>
      <c r="BD16" s="16">
        <v>1.1399999999999999</v>
      </c>
      <c r="BE16" s="8">
        <v>1.44</v>
      </c>
      <c r="BF16" s="8">
        <v>0.59</v>
      </c>
      <c r="BG16" s="8">
        <v>0.18</v>
      </c>
      <c r="BH16" s="8">
        <v>0.11</v>
      </c>
      <c r="BI16" s="8">
        <v>0.12</v>
      </c>
      <c r="BJ16" s="14">
        <v>536</v>
      </c>
      <c r="BK16" s="10">
        <v>423</v>
      </c>
      <c r="BL16" s="9">
        <v>9.3000000000000007</v>
      </c>
      <c r="BM16" s="9">
        <v>8.6</v>
      </c>
      <c r="BN16" s="8">
        <v>0.49</v>
      </c>
      <c r="BO16" s="8">
        <v>0.36</v>
      </c>
      <c r="BP16" s="14">
        <v>56</v>
      </c>
      <c r="BQ16" s="10">
        <v>52</v>
      </c>
      <c r="BR16" s="10">
        <v>39</v>
      </c>
      <c r="BS16" s="10">
        <v>33</v>
      </c>
      <c r="BT16" s="8">
        <v>0.13</v>
      </c>
      <c r="BU16" s="8">
        <v>0.08</v>
      </c>
      <c r="BV16" s="10">
        <v>37</v>
      </c>
      <c r="BW16" s="10">
        <v>31</v>
      </c>
      <c r="BX16" s="8">
        <v>0.89</v>
      </c>
      <c r="BY16" s="8">
        <v>0.97</v>
      </c>
      <c r="BZ16" s="10">
        <v>26008540</v>
      </c>
      <c r="CA16" s="10">
        <v>26023899</v>
      </c>
      <c r="CB16" s="12">
        <v>54</v>
      </c>
      <c r="CC16" s="12">
        <v>38</v>
      </c>
      <c r="CD16" s="17">
        <v>362.9</v>
      </c>
      <c r="CE16" s="17">
        <v>334.3</v>
      </c>
      <c r="CF16" s="21">
        <f t="shared" si="2"/>
        <v>0.14880132267842383</v>
      </c>
      <c r="CG16" s="11">
        <f t="shared" si="2"/>
        <v>0.11367035596769369</v>
      </c>
      <c r="CH16" s="81">
        <v>0.1</v>
      </c>
      <c r="CJ16" s="55" t="s">
        <v>101</v>
      </c>
    </row>
    <row r="17" spans="1:88" x14ac:dyDescent="0.2">
      <c r="A17" s="1" t="s">
        <v>162</v>
      </c>
      <c r="B17" s="1" t="s">
        <v>163</v>
      </c>
      <c r="C17" s="1">
        <v>20231646</v>
      </c>
      <c r="D17" s="2">
        <v>380260045072364</v>
      </c>
      <c r="E17" s="2">
        <v>1</v>
      </c>
      <c r="F17" s="1">
        <v>23.5</v>
      </c>
      <c r="G17" s="1">
        <v>23.6</v>
      </c>
      <c r="H17" s="1">
        <v>3</v>
      </c>
      <c r="I17" s="1">
        <v>3</v>
      </c>
      <c r="J17" s="56">
        <f>DogSample3[[#This Row],[Weight pre (kg)]]*4.5/50</f>
        <v>2.1150000000000002</v>
      </c>
      <c r="K17" s="1" t="s">
        <v>125</v>
      </c>
      <c r="M17" s="3">
        <v>43338</v>
      </c>
      <c r="N17" s="3">
        <v>45164</v>
      </c>
      <c r="O17" s="55">
        <f t="shared" si="0"/>
        <v>1826</v>
      </c>
      <c r="P17" s="55" t="s">
        <v>93</v>
      </c>
      <c r="Q17" s="55" t="s">
        <v>105</v>
      </c>
      <c r="R17" s="55" t="s">
        <v>106</v>
      </c>
      <c r="S17" s="4">
        <v>46109</v>
      </c>
      <c r="T17">
        <f t="shared" si="1"/>
        <v>945</v>
      </c>
      <c r="U17" s="55" t="s">
        <v>96</v>
      </c>
      <c r="V17" s="55" t="s">
        <v>107</v>
      </c>
      <c r="W17" s="55"/>
      <c r="X17" s="3">
        <v>45272</v>
      </c>
      <c r="Y17" s="55" t="s">
        <v>99</v>
      </c>
      <c r="Z17" s="4">
        <v>46109</v>
      </c>
      <c r="AA17" s="61">
        <f>DogSample3[[#This Row],[Behavioural recording start]]+5</f>
        <v>46114</v>
      </c>
      <c r="AB17" s="65">
        <v>10.53</v>
      </c>
      <c r="AC17" s="4">
        <f>DogSample3[[#This Row],[1st Blood sample]]+1</f>
        <v>46115</v>
      </c>
      <c r="AD17" s="4">
        <f>DogSample3[[#This Row],[Treatment start]]+40</f>
        <v>46155</v>
      </c>
      <c r="AE17" s="5">
        <f>DogSample3[[#This Row],[2nd Behavioural recording start]]+4</f>
        <v>46159</v>
      </c>
      <c r="AF17" s="4">
        <f>DogSample3[[#This Row],[2nd Behavioural recording start]]+5</f>
        <v>46160</v>
      </c>
      <c r="AG17" s="8">
        <v>9.57</v>
      </c>
      <c r="AH17" s="13">
        <v>8.85</v>
      </c>
      <c r="AI17" s="8">
        <v>7.92</v>
      </c>
      <c r="AJ17" s="13">
        <v>20.61</v>
      </c>
      <c r="AK17" s="13">
        <v>18.71</v>
      </c>
      <c r="AL17" s="13">
        <v>57.11</v>
      </c>
      <c r="AM17" s="8">
        <v>53.6</v>
      </c>
      <c r="AN17" s="66">
        <v>36.1</v>
      </c>
      <c r="AO17" s="8">
        <v>34.9</v>
      </c>
      <c r="AP17" s="8">
        <v>14.8</v>
      </c>
      <c r="AQ17" s="8">
        <v>14.9</v>
      </c>
      <c r="AR17" s="8">
        <v>7.56</v>
      </c>
      <c r="AS17" s="8">
        <v>8.99</v>
      </c>
      <c r="AT17" s="10">
        <v>65</v>
      </c>
      <c r="AU17" s="10">
        <v>65</v>
      </c>
      <c r="AV17" s="10">
        <v>24</v>
      </c>
      <c r="AW17" s="10">
        <v>22</v>
      </c>
      <c r="AX17" s="10">
        <v>8</v>
      </c>
      <c r="AY17" s="10">
        <v>10</v>
      </c>
      <c r="AZ17" s="10">
        <v>5</v>
      </c>
      <c r="BA17" s="10">
        <v>6</v>
      </c>
      <c r="BB17" s="8">
        <v>4.91</v>
      </c>
      <c r="BC17" s="8">
        <v>5.84</v>
      </c>
      <c r="BD17" s="8">
        <v>1.84</v>
      </c>
      <c r="BE17" s="8">
        <v>1.96</v>
      </c>
      <c r="BF17" s="8">
        <v>0.56999999999999995</v>
      </c>
      <c r="BG17" s="8">
        <v>0.86</v>
      </c>
      <c r="BH17" s="8">
        <v>0.35</v>
      </c>
      <c r="BI17" s="8">
        <v>0.5</v>
      </c>
      <c r="BJ17" s="10">
        <v>306</v>
      </c>
      <c r="BK17" s="10">
        <v>316</v>
      </c>
      <c r="BL17" s="8">
        <v>9.5</v>
      </c>
      <c r="BM17" s="8">
        <v>9.1999999999999993</v>
      </c>
      <c r="BN17" s="8">
        <v>0.28999999999999998</v>
      </c>
      <c r="BO17" s="8">
        <v>0.28999999999999998</v>
      </c>
      <c r="BP17" s="14">
        <v>47</v>
      </c>
      <c r="BQ17" s="14">
        <v>46</v>
      </c>
      <c r="BR17" s="10">
        <v>51</v>
      </c>
      <c r="BS17" s="10">
        <v>37</v>
      </c>
      <c r="BT17" s="8">
        <v>0.18</v>
      </c>
      <c r="BU17" s="8">
        <v>0.14000000000000001</v>
      </c>
      <c r="BV17" s="10">
        <v>36</v>
      </c>
      <c r="BW17" s="10">
        <v>34</v>
      </c>
      <c r="BX17" s="8">
        <v>1.1200000000000001</v>
      </c>
      <c r="BY17" s="8">
        <v>1.01</v>
      </c>
      <c r="BZ17" s="10">
        <v>26031317</v>
      </c>
      <c r="CA17" s="10">
        <v>26045260</v>
      </c>
      <c r="CB17" s="12">
        <v>18</v>
      </c>
      <c r="CC17" s="12"/>
      <c r="CD17" s="17">
        <v>335.9</v>
      </c>
      <c r="CE17" s="11"/>
      <c r="CF17" s="21">
        <f t="shared" si="2"/>
        <v>5.3587377195593928E-2</v>
      </c>
      <c r="CG17" s="11" t="e">
        <f t="shared" si="2"/>
        <v>#DIV/0!</v>
      </c>
      <c r="CH17" s="18"/>
      <c r="CJ17" s="55" t="s">
        <v>101</v>
      </c>
    </row>
    <row r="18" spans="1:88" x14ac:dyDescent="0.2">
      <c r="A18" s="1" t="s">
        <v>164</v>
      </c>
      <c r="B18" s="1" t="s">
        <v>165</v>
      </c>
      <c r="C18" s="1">
        <v>20201789</v>
      </c>
      <c r="D18" s="2">
        <v>380260044449915</v>
      </c>
      <c r="E18" s="67">
        <v>0</v>
      </c>
      <c r="F18" s="1">
        <v>22.1</v>
      </c>
      <c r="G18" s="1">
        <v>19</v>
      </c>
      <c r="H18" s="1">
        <v>3</v>
      </c>
      <c r="I18" s="1">
        <v>3</v>
      </c>
      <c r="J18" s="56">
        <f>DogSample3[[#This Row],[Weight pre (kg)]]*4.5/50</f>
        <v>1.9890000000000001</v>
      </c>
      <c r="K18" s="1" t="s">
        <v>92</v>
      </c>
      <c r="M18" s="3">
        <v>43442</v>
      </c>
      <c r="N18" s="3">
        <v>44172</v>
      </c>
      <c r="O18" s="55">
        <f t="shared" si="0"/>
        <v>730</v>
      </c>
      <c r="P18" s="55" t="s">
        <v>104</v>
      </c>
      <c r="Q18" s="55" t="s">
        <v>105</v>
      </c>
      <c r="R18" s="55" t="s">
        <v>106</v>
      </c>
      <c r="S18" s="61">
        <v>45960</v>
      </c>
      <c r="T18">
        <f t="shared" si="1"/>
        <v>1788</v>
      </c>
      <c r="U18" s="55" t="s">
        <v>96</v>
      </c>
      <c r="V18" s="55" t="s">
        <v>107</v>
      </c>
      <c r="W18" s="55"/>
      <c r="X18" s="3">
        <v>44239</v>
      </c>
      <c r="Y18" s="1" t="s">
        <v>166</v>
      </c>
      <c r="Z18" s="61">
        <v>45960</v>
      </c>
      <c r="AA18" s="3">
        <f>DogSample3[[#This Row],[Behavioural recording start]]+5</f>
        <v>45965</v>
      </c>
      <c r="AB18" s="19">
        <v>9.15</v>
      </c>
      <c r="AC18" s="4">
        <f>DogSample3[[#This Row],[1st Blood sample]]+1</f>
        <v>45966</v>
      </c>
      <c r="AD18" s="4">
        <f>DogSample3[[#This Row],[Treatment start]]+40</f>
        <v>46006</v>
      </c>
      <c r="AE18" s="5">
        <f>DogSample3[[#This Row],[2nd Behavioural recording start]]+4</f>
        <v>46010</v>
      </c>
      <c r="AF18" s="4">
        <v>46013</v>
      </c>
      <c r="AG18" s="8">
        <v>10</v>
      </c>
      <c r="AH18" s="8">
        <v>8.2899999999999991</v>
      </c>
      <c r="AI18" s="8">
        <v>7.21</v>
      </c>
      <c r="AJ18" s="8">
        <v>17.399999999999999</v>
      </c>
      <c r="AK18" s="8">
        <v>15.2</v>
      </c>
      <c r="AL18" s="8">
        <v>51</v>
      </c>
      <c r="AM18" s="8">
        <v>43.9</v>
      </c>
      <c r="AN18" s="8">
        <v>34.1</v>
      </c>
      <c r="AO18" s="8">
        <v>34.6</v>
      </c>
      <c r="AP18" s="8">
        <v>12.1</v>
      </c>
      <c r="AQ18" s="8">
        <v>11.2</v>
      </c>
      <c r="AR18" s="8">
        <v>13.08</v>
      </c>
      <c r="AS18" s="8">
        <v>11.64</v>
      </c>
      <c r="AT18" s="10">
        <v>73</v>
      </c>
      <c r="AU18" s="10">
        <v>71</v>
      </c>
      <c r="AV18" s="10">
        <v>20</v>
      </c>
      <c r="AW18" s="10">
        <v>18</v>
      </c>
      <c r="AX18" s="10">
        <v>5</v>
      </c>
      <c r="AY18" s="10">
        <v>9</v>
      </c>
      <c r="AZ18" s="10">
        <v>2</v>
      </c>
      <c r="BA18" s="10">
        <v>2</v>
      </c>
      <c r="BB18" s="8">
        <v>9.5500000000000007</v>
      </c>
      <c r="BC18" s="8">
        <v>8.2899999999999991</v>
      </c>
      <c r="BD18" s="8">
        <v>2.62</v>
      </c>
      <c r="BE18" s="8">
        <v>2.08</v>
      </c>
      <c r="BF18" s="8">
        <v>0.65</v>
      </c>
      <c r="BG18" s="8">
        <v>1.04</v>
      </c>
      <c r="BH18" s="8">
        <v>0.26</v>
      </c>
      <c r="BI18" s="8">
        <v>0.23</v>
      </c>
      <c r="BJ18" s="10">
        <v>423</v>
      </c>
      <c r="BK18" s="10">
        <v>423</v>
      </c>
      <c r="BL18" s="9">
        <v>13.4</v>
      </c>
      <c r="BM18" s="9">
        <v>9.9</v>
      </c>
      <c r="BN18" s="8">
        <v>0.56999999999999995</v>
      </c>
      <c r="BO18" s="8">
        <v>0.42</v>
      </c>
      <c r="BP18" s="14">
        <v>44</v>
      </c>
      <c r="BQ18" s="7">
        <v>31</v>
      </c>
      <c r="BR18" s="10">
        <v>45</v>
      </c>
      <c r="BS18" s="10">
        <v>39</v>
      </c>
      <c r="BT18" s="8">
        <v>0.08</v>
      </c>
      <c r="BU18" s="8">
        <v>0.08</v>
      </c>
      <c r="BV18" s="10">
        <v>22</v>
      </c>
      <c r="BW18" s="10">
        <v>26</v>
      </c>
      <c r="BX18" s="8">
        <v>1.06</v>
      </c>
      <c r="BY18" s="8">
        <v>0.86</v>
      </c>
      <c r="BZ18" s="10">
        <v>25094125</v>
      </c>
      <c r="CA18" s="10">
        <v>25113915</v>
      </c>
      <c r="CB18" s="7">
        <v>61</v>
      </c>
      <c r="CC18" s="12">
        <v>10</v>
      </c>
      <c r="CD18" s="17">
        <v>375.5</v>
      </c>
      <c r="CE18" s="17">
        <v>371.9</v>
      </c>
      <c r="CF18" s="21">
        <f t="shared" ref="CF18:CG37" si="3">(CB18/CD18)</f>
        <v>0.16245006657789615</v>
      </c>
      <c r="CG18" s="11">
        <f t="shared" si="3"/>
        <v>2.6888948642108095E-2</v>
      </c>
      <c r="CH18" s="63" t="s">
        <v>129</v>
      </c>
      <c r="CI18" s="63" t="s">
        <v>129</v>
      </c>
      <c r="CJ18" s="55" t="s">
        <v>101</v>
      </c>
    </row>
    <row r="19" spans="1:88" x14ac:dyDescent="0.2">
      <c r="A19" s="1" t="s">
        <v>167</v>
      </c>
      <c r="B19" s="1" t="s">
        <v>168</v>
      </c>
      <c r="C19" s="1">
        <v>20241650</v>
      </c>
      <c r="D19" s="2">
        <v>380260170343051</v>
      </c>
      <c r="E19" s="67">
        <v>1</v>
      </c>
      <c r="F19" s="1">
        <v>36</v>
      </c>
      <c r="G19" s="1">
        <v>35</v>
      </c>
      <c r="H19" s="1">
        <v>4</v>
      </c>
      <c r="I19" s="1">
        <v>4</v>
      </c>
      <c r="J19" s="1">
        <f>DogSample3[[#This Row],[Weight pre (kg)]]*4.5/50</f>
        <v>3.24</v>
      </c>
      <c r="K19" s="1" t="s">
        <v>169</v>
      </c>
      <c r="M19" s="3">
        <v>44818</v>
      </c>
      <c r="N19" s="3">
        <v>45549</v>
      </c>
      <c r="O19" s="55">
        <f t="shared" si="0"/>
        <v>731</v>
      </c>
      <c r="P19" s="55" t="s">
        <v>104</v>
      </c>
      <c r="Q19" s="55" t="s">
        <v>105</v>
      </c>
      <c r="R19" s="55" t="s">
        <v>106</v>
      </c>
      <c r="S19" s="4">
        <v>46053</v>
      </c>
      <c r="T19">
        <f t="shared" si="1"/>
        <v>504</v>
      </c>
      <c r="U19" s="55" t="s">
        <v>96</v>
      </c>
      <c r="V19" s="55" t="s">
        <v>116</v>
      </c>
      <c r="W19" s="55"/>
      <c r="X19" s="3">
        <v>45610</v>
      </c>
      <c r="Y19" s="55" t="s">
        <v>99</v>
      </c>
      <c r="Z19" s="4">
        <v>46053</v>
      </c>
      <c r="AA19" s="61">
        <f>DogSample3[[#This Row],[Behavioural recording start]]+5</f>
        <v>46058</v>
      </c>
      <c r="AB19" s="65">
        <v>10.35</v>
      </c>
      <c r="AC19" s="4">
        <f>DogSample3[[#This Row],[1st Blood sample]]+1</f>
        <v>46059</v>
      </c>
      <c r="AD19" s="4">
        <f>DogSample3[[#This Row],[Treatment start]]+40</f>
        <v>46099</v>
      </c>
      <c r="AE19" s="5">
        <f>DogSample3[[#This Row],[2nd Behavioural recording start]]+4</f>
        <v>46103</v>
      </c>
      <c r="AF19" s="4">
        <f>DogSample3[[#This Row],[2nd Behavioural recording start]]+5</f>
        <v>46104</v>
      </c>
      <c r="AG19" s="8">
        <v>9.58</v>
      </c>
      <c r="AH19" s="8">
        <v>7.02</v>
      </c>
      <c r="AI19" s="8">
        <v>7.75</v>
      </c>
      <c r="AJ19" s="8">
        <v>16.399999999999999</v>
      </c>
      <c r="AK19" s="8">
        <v>17.7</v>
      </c>
      <c r="AL19" s="8">
        <v>48.8</v>
      </c>
      <c r="AM19" s="13">
        <v>55.4</v>
      </c>
      <c r="AN19" s="8">
        <v>33.6</v>
      </c>
      <c r="AO19" s="8">
        <v>32</v>
      </c>
      <c r="AP19" s="8">
        <v>12.5</v>
      </c>
      <c r="AQ19" s="8">
        <v>12.2</v>
      </c>
      <c r="AR19" s="8">
        <v>8.42</v>
      </c>
      <c r="AS19" s="8">
        <v>8.44</v>
      </c>
      <c r="AT19" s="14">
        <v>75</v>
      </c>
      <c r="AU19" s="10">
        <v>70</v>
      </c>
      <c r="AV19" s="10">
        <v>19</v>
      </c>
      <c r="AW19" s="10">
        <v>26</v>
      </c>
      <c r="AX19" s="10">
        <v>4</v>
      </c>
      <c r="AY19" s="10">
        <v>3</v>
      </c>
      <c r="AZ19" s="10">
        <v>2</v>
      </c>
      <c r="BA19" s="10">
        <v>1</v>
      </c>
      <c r="BB19" s="8">
        <v>6.34</v>
      </c>
      <c r="BC19" s="8">
        <v>5.91</v>
      </c>
      <c r="BD19" s="8">
        <v>1.57</v>
      </c>
      <c r="BE19" s="8">
        <v>2.19</v>
      </c>
      <c r="BF19" s="8">
        <v>0.34</v>
      </c>
      <c r="BG19" s="8">
        <v>0.25</v>
      </c>
      <c r="BH19" s="8">
        <v>0.17</v>
      </c>
      <c r="BI19" s="8">
        <v>0.08</v>
      </c>
      <c r="BJ19" s="10">
        <v>271</v>
      </c>
      <c r="BK19" s="10">
        <v>259</v>
      </c>
      <c r="BL19" s="9">
        <v>10.3</v>
      </c>
      <c r="BM19" s="9">
        <v>12.1</v>
      </c>
      <c r="BN19" s="8">
        <v>0.28000000000000003</v>
      </c>
      <c r="BO19" s="8">
        <v>0.31</v>
      </c>
      <c r="BP19" s="14">
        <v>53</v>
      </c>
      <c r="BQ19" s="14">
        <v>57</v>
      </c>
      <c r="BR19" s="10">
        <v>40</v>
      </c>
      <c r="BS19" s="10">
        <v>46</v>
      </c>
      <c r="BT19" s="11">
        <v>0.09</v>
      </c>
      <c r="BU19" s="11">
        <v>0.08</v>
      </c>
      <c r="BV19" s="10">
        <v>49</v>
      </c>
      <c r="BW19" s="10">
        <v>43</v>
      </c>
      <c r="BX19" s="8">
        <v>1.26</v>
      </c>
      <c r="BY19" s="8">
        <v>1.1000000000000001</v>
      </c>
      <c r="BZ19" s="10">
        <v>26013410</v>
      </c>
      <c r="CA19" s="10">
        <v>26027845</v>
      </c>
      <c r="CB19" s="12">
        <v>13</v>
      </c>
      <c r="CC19" s="12">
        <v>36</v>
      </c>
      <c r="CD19" s="17">
        <v>331.7</v>
      </c>
      <c r="CE19" s="17">
        <v>375.3</v>
      </c>
      <c r="CF19" s="21">
        <f t="shared" si="3"/>
        <v>3.9192041000904433E-2</v>
      </c>
      <c r="CG19" s="11">
        <f t="shared" si="3"/>
        <v>9.5923261390887291E-2</v>
      </c>
      <c r="CH19" s="18"/>
      <c r="CJ19" s="55" t="s">
        <v>101</v>
      </c>
    </row>
    <row r="20" spans="1:88" x14ac:dyDescent="0.2">
      <c r="A20" s="1" t="s">
        <v>170</v>
      </c>
      <c r="B20" s="1" t="s">
        <v>171</v>
      </c>
      <c r="C20" s="1">
        <v>20231420</v>
      </c>
      <c r="D20" s="2">
        <v>380260045072474</v>
      </c>
      <c r="E20" s="67">
        <v>1</v>
      </c>
      <c r="F20" s="1">
        <v>28</v>
      </c>
      <c r="G20" s="1">
        <v>27.9</v>
      </c>
      <c r="H20" s="1">
        <v>3</v>
      </c>
      <c r="I20" s="1">
        <v>3</v>
      </c>
      <c r="J20" s="1">
        <f>DogSample3[[#This Row],[Weight pre (kg)]]*4.5/50</f>
        <v>2.52</v>
      </c>
      <c r="K20" s="1" t="s">
        <v>92</v>
      </c>
      <c r="M20" s="3">
        <v>44889</v>
      </c>
      <c r="N20" s="3">
        <v>45133</v>
      </c>
      <c r="O20" s="55">
        <f t="shared" si="0"/>
        <v>244</v>
      </c>
      <c r="P20" s="55" t="s">
        <v>104</v>
      </c>
      <c r="Q20" s="55" t="s">
        <v>105</v>
      </c>
      <c r="R20" s="55" t="s">
        <v>172</v>
      </c>
      <c r="S20" s="72">
        <v>46133</v>
      </c>
      <c r="T20">
        <f t="shared" si="1"/>
        <v>1000</v>
      </c>
      <c r="U20" s="55" t="s">
        <v>96</v>
      </c>
      <c r="V20" s="55" t="s">
        <v>137</v>
      </c>
      <c r="W20" s="55"/>
      <c r="X20" s="3">
        <v>45177</v>
      </c>
      <c r="Y20" s="1" t="s">
        <v>173</v>
      </c>
      <c r="Z20" s="72">
        <v>46133</v>
      </c>
      <c r="AA20" s="3">
        <f>DogSample3[[#This Row],[Behavioural recording start]]+6</f>
        <v>46139</v>
      </c>
      <c r="AB20" s="19">
        <v>10.1</v>
      </c>
      <c r="AC20" s="4">
        <f>DogSample3[[#This Row],[1st Blood sample]]+1</f>
        <v>46140</v>
      </c>
      <c r="AD20" s="4">
        <f>DogSample3[[#This Row],[Treatment start]]+40</f>
        <v>46180</v>
      </c>
      <c r="AE20" s="5">
        <f>DogSample3[[#This Row],[2nd Behavioural recording start]]+4</f>
        <v>46184</v>
      </c>
      <c r="AF20" s="4">
        <f>DogSample3[[#This Row],[2nd Behavioural recording start]]+5</f>
        <v>46185</v>
      </c>
      <c r="AG20" s="8">
        <v>11.26</v>
      </c>
      <c r="AH20" s="8">
        <v>7.61</v>
      </c>
      <c r="AI20" s="8">
        <v>7.41</v>
      </c>
      <c r="AJ20" s="8">
        <v>17.8</v>
      </c>
      <c r="AK20" s="8">
        <v>17.5</v>
      </c>
      <c r="AL20" s="8">
        <v>48.7</v>
      </c>
      <c r="AM20" s="8">
        <v>46.9</v>
      </c>
      <c r="AN20" s="8">
        <v>36.6</v>
      </c>
      <c r="AO20" s="8">
        <v>37.299999999999997</v>
      </c>
      <c r="AP20" s="8">
        <v>12.7</v>
      </c>
      <c r="AQ20" s="8">
        <v>11.6</v>
      </c>
      <c r="AR20" s="8">
        <v>9.58</v>
      </c>
      <c r="AS20" s="8">
        <v>7.1</v>
      </c>
      <c r="AT20" s="10">
        <v>67</v>
      </c>
      <c r="AU20" s="10">
        <v>65</v>
      </c>
      <c r="AV20" s="10">
        <v>18</v>
      </c>
      <c r="AW20" s="10">
        <v>21</v>
      </c>
      <c r="AX20" s="10">
        <v>10</v>
      </c>
      <c r="AY20" s="10">
        <v>11</v>
      </c>
      <c r="AZ20" s="10">
        <v>5</v>
      </c>
      <c r="BA20" s="10">
        <v>4</v>
      </c>
      <c r="BB20" s="8">
        <v>6.42</v>
      </c>
      <c r="BC20" s="8">
        <v>4.62</v>
      </c>
      <c r="BD20" s="8">
        <v>1.76</v>
      </c>
      <c r="BE20" s="8">
        <v>1.52</v>
      </c>
      <c r="BF20" s="8">
        <v>0.99</v>
      </c>
      <c r="BG20" s="8">
        <v>0.75</v>
      </c>
      <c r="BH20" s="8">
        <v>0.49</v>
      </c>
      <c r="BI20" s="8">
        <v>0.28999999999999998</v>
      </c>
      <c r="BJ20" s="10">
        <v>347</v>
      </c>
      <c r="BK20" s="10">
        <v>349</v>
      </c>
      <c r="BL20" s="8">
        <v>9.6</v>
      </c>
      <c r="BM20" s="8">
        <v>9.3000000000000007</v>
      </c>
      <c r="BN20" s="8">
        <v>0.33</v>
      </c>
      <c r="BO20" s="8">
        <v>0.32</v>
      </c>
      <c r="BP20" s="14">
        <v>74</v>
      </c>
      <c r="BQ20" s="14">
        <v>67</v>
      </c>
      <c r="BR20" s="10">
        <v>41</v>
      </c>
      <c r="BS20" s="10">
        <v>36</v>
      </c>
      <c r="BT20" s="8">
        <v>0.09</v>
      </c>
      <c r="BU20" s="8">
        <v>0.17</v>
      </c>
      <c r="BV20" s="10">
        <v>32</v>
      </c>
      <c r="BW20" s="10">
        <v>25</v>
      </c>
      <c r="BX20" s="8">
        <v>0.82</v>
      </c>
      <c r="BY20" s="8">
        <v>1.07</v>
      </c>
      <c r="BZ20" s="7">
        <v>26038240</v>
      </c>
      <c r="CA20" s="4"/>
      <c r="CB20" s="70" t="s">
        <v>118</v>
      </c>
      <c r="CC20" s="12"/>
      <c r="CD20" s="17">
        <v>391.5</v>
      </c>
      <c r="CE20" s="11"/>
      <c r="CF20" s="21" t="e">
        <f t="shared" si="3"/>
        <v>#VALUE!</v>
      </c>
      <c r="CG20" s="11" t="e">
        <f t="shared" si="3"/>
        <v>#DIV/0!</v>
      </c>
      <c r="CH20" s="18"/>
      <c r="CJ20" s="55" t="s">
        <v>101</v>
      </c>
    </row>
    <row r="21" spans="1:88" x14ac:dyDescent="0.2">
      <c r="A21" s="1" t="s">
        <v>174</v>
      </c>
      <c r="B21" s="1" t="s">
        <v>175</v>
      </c>
      <c r="C21" s="1">
        <v>20241048</v>
      </c>
      <c r="D21" s="2">
        <v>380260160043168</v>
      </c>
      <c r="E21" s="67">
        <v>0</v>
      </c>
      <c r="F21" s="1">
        <v>29.5</v>
      </c>
      <c r="G21" s="1">
        <v>29.3</v>
      </c>
      <c r="H21" s="1">
        <v>3</v>
      </c>
      <c r="I21" s="1">
        <v>3</v>
      </c>
      <c r="J21" s="56">
        <f>DogSample3[[#This Row],[Weight pre (kg)]]*4.5/50</f>
        <v>2.6549999999999998</v>
      </c>
      <c r="K21" s="1" t="s">
        <v>92</v>
      </c>
      <c r="L21" s="1" t="s">
        <v>176</v>
      </c>
      <c r="M21" s="3">
        <v>44735</v>
      </c>
      <c r="N21" s="3">
        <v>45466</v>
      </c>
      <c r="O21" s="55">
        <f t="shared" si="0"/>
        <v>731</v>
      </c>
      <c r="P21" s="55" t="s">
        <v>104</v>
      </c>
      <c r="Q21" s="55" t="s">
        <v>105</v>
      </c>
      <c r="R21" s="55" t="s">
        <v>106</v>
      </c>
      <c r="S21" s="4">
        <v>46095</v>
      </c>
      <c r="T21">
        <f t="shared" si="1"/>
        <v>629</v>
      </c>
      <c r="U21" s="55" t="s">
        <v>96</v>
      </c>
      <c r="V21" s="55" t="s">
        <v>132</v>
      </c>
      <c r="W21" s="55" t="s">
        <v>177</v>
      </c>
      <c r="X21" s="3">
        <v>45498</v>
      </c>
      <c r="Y21" s="55" t="s">
        <v>99</v>
      </c>
      <c r="Z21" s="4">
        <v>46095</v>
      </c>
      <c r="AA21" s="61">
        <f>DogSample3[[#This Row],[Behavioural recording start]]+5</f>
        <v>46100</v>
      </c>
      <c r="AB21" s="65">
        <v>9.48</v>
      </c>
      <c r="AC21" s="4">
        <f>DogSample3[[#This Row],[1st Blood sample]]+1</f>
        <v>46101</v>
      </c>
      <c r="AD21" s="4">
        <f>DogSample3[[#This Row],[Treatment start]]+40</f>
        <v>46141</v>
      </c>
      <c r="AE21" s="5">
        <f>DogSample3[[#This Row],[2nd Behavioural recording start]]+4</f>
        <v>46145</v>
      </c>
      <c r="AF21" s="4">
        <f>DogSample3[[#This Row],[2nd Behavioural recording start]]+5</f>
        <v>46146</v>
      </c>
      <c r="AG21" s="8">
        <v>11.33</v>
      </c>
      <c r="AH21" s="8">
        <v>7.57</v>
      </c>
      <c r="AI21" s="8">
        <v>6.79</v>
      </c>
      <c r="AJ21" s="8">
        <v>16.600000000000001</v>
      </c>
      <c r="AK21" s="8">
        <v>16.399999999999999</v>
      </c>
      <c r="AL21" s="8">
        <v>53</v>
      </c>
      <c r="AM21" s="8">
        <v>46.4</v>
      </c>
      <c r="AN21" s="16">
        <v>31.3</v>
      </c>
      <c r="AO21" s="8">
        <v>35.299999999999997</v>
      </c>
      <c r="AP21" s="8">
        <v>11.5</v>
      </c>
      <c r="AQ21" s="8">
        <v>13.2</v>
      </c>
      <c r="AR21" s="8">
        <v>7.35</v>
      </c>
      <c r="AS21" s="8">
        <v>7.82</v>
      </c>
      <c r="AT21" s="14">
        <v>76</v>
      </c>
      <c r="AU21" s="14">
        <v>80</v>
      </c>
      <c r="AV21" s="10">
        <v>18</v>
      </c>
      <c r="AW21" s="10">
        <v>11</v>
      </c>
      <c r="AX21" s="10">
        <v>4</v>
      </c>
      <c r="AY21" s="10">
        <v>8</v>
      </c>
      <c r="AZ21" s="10">
        <v>2</v>
      </c>
      <c r="BA21" s="10">
        <v>2</v>
      </c>
      <c r="BB21" s="8">
        <v>5.59</v>
      </c>
      <c r="BC21" s="8">
        <v>6.26</v>
      </c>
      <c r="BD21" s="16">
        <v>1.32</v>
      </c>
      <c r="BE21" s="16">
        <v>0.87</v>
      </c>
      <c r="BF21" s="8">
        <v>0.28999999999999998</v>
      </c>
      <c r="BG21" s="8">
        <v>0.6</v>
      </c>
      <c r="BH21" s="8">
        <v>0.15</v>
      </c>
      <c r="BI21" s="8">
        <v>0.18</v>
      </c>
      <c r="BJ21" s="10">
        <v>287</v>
      </c>
      <c r="BK21" s="10">
        <v>292</v>
      </c>
      <c r="BL21" s="9">
        <v>10.8</v>
      </c>
      <c r="BM21" s="8">
        <v>11.3</v>
      </c>
      <c r="BN21" s="8">
        <v>0.31</v>
      </c>
      <c r="BO21" s="8">
        <v>0.33</v>
      </c>
      <c r="BP21" s="10">
        <v>39</v>
      </c>
      <c r="BQ21" s="10">
        <v>45</v>
      </c>
      <c r="BR21" s="10">
        <v>24</v>
      </c>
      <c r="BS21" s="10">
        <v>20</v>
      </c>
      <c r="BT21" s="8">
        <v>0.11</v>
      </c>
      <c r="BU21" s="8">
        <v>0.19</v>
      </c>
      <c r="BV21" s="10">
        <v>35</v>
      </c>
      <c r="BW21" s="10">
        <v>38</v>
      </c>
      <c r="BX21" s="8">
        <v>0.85</v>
      </c>
      <c r="BY21" s="8">
        <v>0.78</v>
      </c>
      <c r="BZ21" s="10">
        <v>26027063</v>
      </c>
      <c r="CA21" s="59">
        <v>26040582</v>
      </c>
      <c r="CB21" s="12">
        <v>20</v>
      </c>
      <c r="CC21" s="11" t="s">
        <v>316</v>
      </c>
      <c r="CD21" s="17">
        <v>393.2</v>
      </c>
      <c r="CE21" s="11"/>
      <c r="CF21" s="21">
        <f t="shared" si="3"/>
        <v>5.0864699898270603E-2</v>
      </c>
      <c r="CG21" s="11" t="e">
        <f t="shared" si="3"/>
        <v>#VALUE!</v>
      </c>
      <c r="CH21" s="18"/>
      <c r="CJ21" s="55" t="s">
        <v>101</v>
      </c>
    </row>
    <row r="22" spans="1:88" x14ac:dyDescent="0.2">
      <c r="A22" s="1" t="s">
        <v>178</v>
      </c>
      <c r="B22" s="55" t="s">
        <v>179</v>
      </c>
      <c r="C22" s="1">
        <v>20240142</v>
      </c>
      <c r="D22" s="2">
        <v>380260044730842</v>
      </c>
      <c r="E22" s="67">
        <v>1</v>
      </c>
      <c r="F22" s="1">
        <v>17</v>
      </c>
      <c r="G22" s="1">
        <v>18</v>
      </c>
      <c r="H22" s="1">
        <v>3</v>
      </c>
      <c r="I22" s="1">
        <v>3</v>
      </c>
      <c r="J22" s="1">
        <f>DogSample3[[#This Row],[Weight pre (kg)]]*4.5/50</f>
        <v>1.53</v>
      </c>
      <c r="K22" s="1" t="s">
        <v>125</v>
      </c>
      <c r="L22" s="1"/>
      <c r="M22" s="3">
        <v>44584</v>
      </c>
      <c r="N22" s="3">
        <v>45314</v>
      </c>
      <c r="O22" s="55">
        <f t="shared" si="0"/>
        <v>730</v>
      </c>
      <c r="P22" s="55" t="s">
        <v>104</v>
      </c>
      <c r="Q22" s="55" t="s">
        <v>105</v>
      </c>
      <c r="R22" s="55" t="s">
        <v>95</v>
      </c>
      <c r="S22" s="4">
        <v>45999</v>
      </c>
      <c r="T22">
        <f t="shared" si="1"/>
        <v>685</v>
      </c>
      <c r="U22" s="55" t="s">
        <v>96</v>
      </c>
      <c r="V22" s="55" t="s">
        <v>137</v>
      </c>
      <c r="W22" s="55"/>
      <c r="X22" s="3">
        <v>45334</v>
      </c>
      <c r="Y22" s="55" t="s">
        <v>99</v>
      </c>
      <c r="Z22" s="4">
        <v>45999</v>
      </c>
      <c r="AA22" s="61">
        <f>DogSample3[[#This Row],[Behavioural recording start]]+5</f>
        <v>46004</v>
      </c>
      <c r="AB22" s="65">
        <v>10.15</v>
      </c>
      <c r="AC22" s="4">
        <f>DogSample3[[#This Row],[1st Blood sample]]+1</f>
        <v>46005</v>
      </c>
      <c r="AD22" s="4">
        <f>DogSample3[[#This Row],[Treatment start]]+40</f>
        <v>46045</v>
      </c>
      <c r="AE22" s="5">
        <f>DogSample3[[#This Row],[2nd Behavioural recording start]]+4</f>
        <v>46049</v>
      </c>
      <c r="AF22" s="4">
        <f>DogSample3[[#This Row],[2nd Behavioural recording start]]+5</f>
        <v>46050</v>
      </c>
      <c r="AG22" s="8">
        <v>10.14</v>
      </c>
      <c r="AH22" s="8">
        <v>7.03</v>
      </c>
      <c r="AI22" s="8">
        <v>7.05</v>
      </c>
      <c r="AJ22" s="8">
        <v>16.5</v>
      </c>
      <c r="AK22" s="8">
        <v>16.7</v>
      </c>
      <c r="AL22" s="8">
        <v>48.7</v>
      </c>
      <c r="AM22" s="8">
        <v>49.7</v>
      </c>
      <c r="AN22" s="8">
        <v>33.9</v>
      </c>
      <c r="AO22" s="8">
        <v>33.6</v>
      </c>
      <c r="AP22" s="8">
        <v>12.1</v>
      </c>
      <c r="AQ22" s="8">
        <v>12</v>
      </c>
      <c r="AR22" s="8">
        <v>11.02</v>
      </c>
      <c r="AS22" s="8">
        <v>10.47</v>
      </c>
      <c r="AT22" s="10">
        <v>58</v>
      </c>
      <c r="AU22" s="10">
        <v>57</v>
      </c>
      <c r="AV22" s="14">
        <v>32</v>
      </c>
      <c r="AW22" s="14">
        <v>32</v>
      </c>
      <c r="AX22" s="10">
        <v>3</v>
      </c>
      <c r="AY22" s="10">
        <v>4</v>
      </c>
      <c r="AZ22" s="10">
        <v>7</v>
      </c>
      <c r="BA22" s="14">
        <v>8</v>
      </c>
      <c r="BB22" s="8">
        <v>6.39</v>
      </c>
      <c r="BC22" s="8">
        <v>5.97</v>
      </c>
      <c r="BD22" s="8">
        <v>3.53</v>
      </c>
      <c r="BE22" s="8">
        <v>3.3</v>
      </c>
      <c r="BF22" s="8">
        <v>0.33</v>
      </c>
      <c r="BG22" s="8">
        <v>0.41</v>
      </c>
      <c r="BH22" s="13">
        <v>0.77</v>
      </c>
      <c r="BI22" s="13">
        <v>0.8</v>
      </c>
      <c r="BJ22" s="10">
        <v>287</v>
      </c>
      <c r="BK22" s="10">
        <v>303</v>
      </c>
      <c r="BL22" s="9">
        <v>10.4</v>
      </c>
      <c r="BM22" s="9">
        <v>11.1</v>
      </c>
      <c r="BN22" s="8">
        <v>0.3</v>
      </c>
      <c r="BO22" s="8">
        <v>0.34</v>
      </c>
      <c r="BP22" s="10">
        <v>32</v>
      </c>
      <c r="BQ22" s="10">
        <v>36</v>
      </c>
      <c r="BR22" s="10">
        <v>18</v>
      </c>
      <c r="BS22" s="10">
        <v>17</v>
      </c>
      <c r="BT22" s="8">
        <v>0.1</v>
      </c>
      <c r="BU22" s="8">
        <v>0.11</v>
      </c>
      <c r="BV22" s="10">
        <v>43</v>
      </c>
      <c r="BW22" s="10">
        <v>38</v>
      </c>
      <c r="BX22" s="8">
        <v>0.86</v>
      </c>
      <c r="BY22" s="8">
        <v>0.82</v>
      </c>
      <c r="BZ22" s="71">
        <v>25110747</v>
      </c>
      <c r="CA22" s="10">
        <v>26010573</v>
      </c>
      <c r="CB22" s="12"/>
      <c r="CC22" s="12">
        <v>45</v>
      </c>
      <c r="CD22" s="17">
        <v>221.6</v>
      </c>
      <c r="CE22" s="17">
        <v>353.3</v>
      </c>
      <c r="CF22" s="21">
        <f t="shared" si="3"/>
        <v>0</v>
      </c>
      <c r="CG22" s="11">
        <f t="shared" si="3"/>
        <v>0.1273705066515709</v>
      </c>
      <c r="CH22" s="63" t="s">
        <v>100</v>
      </c>
      <c r="CI22" s="63" t="s">
        <v>100</v>
      </c>
      <c r="CJ22" s="55" t="s">
        <v>180</v>
      </c>
    </row>
    <row r="23" spans="1:88" x14ac:dyDescent="0.2">
      <c r="A23" s="1" t="s">
        <v>181</v>
      </c>
      <c r="B23" s="1" t="s">
        <v>182</v>
      </c>
      <c r="C23" s="1">
        <v>20241840</v>
      </c>
      <c r="D23" s="2">
        <v>380260160238495</v>
      </c>
      <c r="E23" s="67">
        <v>1</v>
      </c>
      <c r="F23" s="1">
        <v>20</v>
      </c>
      <c r="G23" s="1">
        <v>20</v>
      </c>
      <c r="H23" s="1">
        <v>3</v>
      </c>
      <c r="I23" s="1">
        <v>3</v>
      </c>
      <c r="J23" s="82">
        <f>DogSample3[[#This Row],[Weight pre (kg)]]*4.5/50</f>
        <v>1.8</v>
      </c>
      <c r="K23" s="1" t="s">
        <v>92</v>
      </c>
      <c r="M23" s="3">
        <v>44487</v>
      </c>
      <c r="N23" s="3">
        <v>45583</v>
      </c>
      <c r="O23" s="55">
        <f t="shared" si="0"/>
        <v>1096</v>
      </c>
      <c r="P23" s="55" t="s">
        <v>104</v>
      </c>
      <c r="Q23" s="55" t="s">
        <v>105</v>
      </c>
      <c r="R23" s="55" t="s">
        <v>183</v>
      </c>
      <c r="S23" s="61">
        <v>45953</v>
      </c>
      <c r="T23">
        <f t="shared" si="1"/>
        <v>370</v>
      </c>
      <c r="U23" s="55" t="s">
        <v>96</v>
      </c>
      <c r="V23" s="55" t="s">
        <v>107</v>
      </c>
      <c r="W23" s="55"/>
      <c r="X23" s="3">
        <v>45631</v>
      </c>
      <c r="Y23" s="55" t="s">
        <v>99</v>
      </c>
      <c r="Z23" s="61">
        <v>45953</v>
      </c>
      <c r="AA23" s="61">
        <f>DogSample3[[#This Row],[Behavioural recording start]]+5</f>
        <v>45958</v>
      </c>
      <c r="AB23" s="19">
        <v>9.3000000000000007</v>
      </c>
      <c r="AC23" s="4">
        <f>DogSample3[[#This Row],[1st Blood sample]]+1</f>
        <v>45959</v>
      </c>
      <c r="AD23" s="4">
        <f>DogSample3[[#This Row],[Treatment start]]+40</f>
        <v>45999</v>
      </c>
      <c r="AE23" s="5">
        <f>DogSample3[[#This Row],[2nd Behavioural recording start]]+4</f>
        <v>46003</v>
      </c>
      <c r="AF23" s="4">
        <v>46006</v>
      </c>
      <c r="AG23" s="8">
        <v>11.2</v>
      </c>
      <c r="AH23" s="8">
        <v>7.52</v>
      </c>
      <c r="AI23" s="8">
        <v>7.46</v>
      </c>
      <c r="AJ23" s="8">
        <v>16.600000000000001</v>
      </c>
      <c r="AK23" s="8">
        <v>15.3</v>
      </c>
      <c r="AL23" s="8">
        <v>46.8</v>
      </c>
      <c r="AM23" s="8">
        <v>45.7</v>
      </c>
      <c r="AN23" s="8">
        <v>35.5</v>
      </c>
      <c r="AO23" s="11">
        <v>33.5</v>
      </c>
      <c r="AP23" s="11">
        <v>13.2</v>
      </c>
      <c r="AQ23" s="11">
        <v>11.9</v>
      </c>
      <c r="AR23" s="16">
        <v>4.13</v>
      </c>
      <c r="AS23" s="11">
        <v>11.53</v>
      </c>
      <c r="AT23" s="10">
        <v>66</v>
      </c>
      <c r="AU23" s="10">
        <v>57</v>
      </c>
      <c r="AV23" s="14">
        <v>27</v>
      </c>
      <c r="AW23" s="7">
        <v>22</v>
      </c>
      <c r="AX23" s="10">
        <v>5</v>
      </c>
      <c r="AY23" s="10">
        <v>4</v>
      </c>
      <c r="AZ23" s="10">
        <v>2</v>
      </c>
      <c r="BA23" s="14">
        <v>17</v>
      </c>
      <c r="BB23" s="8">
        <v>2.73</v>
      </c>
      <c r="BC23" s="8">
        <v>6.57</v>
      </c>
      <c r="BD23" s="16">
        <v>1.1200000000000001</v>
      </c>
      <c r="BE23" s="11">
        <v>2.54</v>
      </c>
      <c r="BF23" s="8">
        <v>0.21</v>
      </c>
      <c r="BG23" s="8">
        <v>0.46</v>
      </c>
      <c r="BH23" s="8">
        <v>0.08</v>
      </c>
      <c r="BI23" s="13">
        <v>1.96</v>
      </c>
      <c r="BJ23" s="15">
        <v>53</v>
      </c>
      <c r="BK23" s="7">
        <v>352</v>
      </c>
      <c r="BL23" s="60">
        <v>21</v>
      </c>
      <c r="BM23" s="17">
        <v>9.1</v>
      </c>
      <c r="BN23" s="16">
        <v>0.11</v>
      </c>
      <c r="BO23" s="11">
        <v>0.32</v>
      </c>
      <c r="BP23" s="14">
        <v>42</v>
      </c>
      <c r="BQ23" s="14">
        <v>44</v>
      </c>
      <c r="BR23" s="10">
        <v>28</v>
      </c>
      <c r="BS23" s="10">
        <v>42</v>
      </c>
      <c r="BT23" s="8">
        <v>0.21</v>
      </c>
      <c r="BU23" s="8">
        <v>0.1</v>
      </c>
      <c r="BV23" s="10">
        <v>33</v>
      </c>
      <c r="BW23" s="10">
        <v>39</v>
      </c>
      <c r="BX23" s="8">
        <v>1.03</v>
      </c>
      <c r="BY23" s="8">
        <v>0.99</v>
      </c>
      <c r="BZ23" s="10">
        <v>25092144</v>
      </c>
      <c r="CA23" s="71">
        <v>25110747</v>
      </c>
      <c r="CB23" s="12">
        <v>28</v>
      </c>
      <c r="CC23" s="12"/>
      <c r="CD23" s="17">
        <v>351</v>
      </c>
      <c r="CE23" s="17">
        <v>136.19999999999999</v>
      </c>
      <c r="CF23" s="21">
        <f t="shared" si="3"/>
        <v>7.9772079772079771E-2</v>
      </c>
      <c r="CG23" s="11">
        <f t="shared" si="3"/>
        <v>0</v>
      </c>
      <c r="CH23" s="63" t="s">
        <v>100</v>
      </c>
      <c r="CI23" s="63" t="s">
        <v>100</v>
      </c>
      <c r="CJ23" s="55" t="s">
        <v>101</v>
      </c>
    </row>
    <row r="24" spans="1:88" x14ac:dyDescent="0.2">
      <c r="A24" s="1" t="s">
        <v>184</v>
      </c>
      <c r="B24" s="1" t="s">
        <v>185</v>
      </c>
      <c r="C24" s="1">
        <v>20211668</v>
      </c>
      <c r="D24" s="2">
        <v>380260044441306</v>
      </c>
      <c r="E24" s="67">
        <v>0</v>
      </c>
      <c r="F24" s="1">
        <v>12.1</v>
      </c>
      <c r="G24" s="1">
        <v>12.5</v>
      </c>
      <c r="H24" s="1">
        <v>4</v>
      </c>
      <c r="I24" s="1">
        <v>4</v>
      </c>
      <c r="J24" s="56">
        <f>DogSample3[[#This Row],[Weight pre (kg)]]*4.5/50</f>
        <v>1.089</v>
      </c>
      <c r="K24" s="1" t="s">
        <v>186</v>
      </c>
      <c r="M24" s="3">
        <v>43732</v>
      </c>
      <c r="N24" s="3">
        <v>44462</v>
      </c>
      <c r="O24" s="55">
        <f t="shared" si="0"/>
        <v>730</v>
      </c>
      <c r="P24" s="55" t="s">
        <v>104</v>
      </c>
      <c r="Q24" s="55" t="s">
        <v>187</v>
      </c>
      <c r="R24" s="55" t="s">
        <v>95</v>
      </c>
      <c r="S24" s="4">
        <v>46058</v>
      </c>
      <c r="T24">
        <f t="shared" si="1"/>
        <v>1596</v>
      </c>
      <c r="U24" s="55" t="s">
        <v>96</v>
      </c>
      <c r="V24" s="55" t="s">
        <v>137</v>
      </c>
      <c r="W24" s="55"/>
      <c r="X24" s="3">
        <v>44489</v>
      </c>
      <c r="Y24" s="55" t="s">
        <v>139</v>
      </c>
      <c r="Z24" s="4">
        <v>46058</v>
      </c>
      <c r="AA24" s="61">
        <f>DogSample3[[#This Row],[Behavioural recording start]]+5</f>
        <v>46063</v>
      </c>
      <c r="AB24" s="65">
        <v>9.3000000000000007</v>
      </c>
      <c r="AC24" s="4">
        <f>DogSample3[[#This Row],[1st Blood sample]]+1</f>
        <v>46064</v>
      </c>
      <c r="AD24" s="4">
        <f>DogSample3[[#This Row],[Treatment start]]+40</f>
        <v>46104</v>
      </c>
      <c r="AE24" s="5">
        <f>DogSample3[[#This Row],[2nd Behavioural recording start]]+4</f>
        <v>46108</v>
      </c>
      <c r="AF24" s="4">
        <f>DogSample3[[#This Row],[2nd Behavioural recording start]]+7</f>
        <v>46111</v>
      </c>
      <c r="AG24" s="66">
        <v>10</v>
      </c>
      <c r="AH24" s="13">
        <v>9.06</v>
      </c>
      <c r="AI24" s="8">
        <v>8.3000000000000007</v>
      </c>
      <c r="AJ24" s="13">
        <v>20.2</v>
      </c>
      <c r="AK24" s="8">
        <v>21.01</v>
      </c>
      <c r="AL24" s="13">
        <v>58.2</v>
      </c>
      <c r="AM24" s="8">
        <v>56.61</v>
      </c>
      <c r="AN24" s="66">
        <v>34.700000000000003</v>
      </c>
      <c r="AO24" s="13">
        <v>37.1</v>
      </c>
      <c r="AP24" s="8">
        <v>12.1</v>
      </c>
      <c r="AQ24" s="13">
        <v>16.41</v>
      </c>
      <c r="AR24" s="13">
        <v>17.18</v>
      </c>
      <c r="AS24" s="8">
        <v>9.49</v>
      </c>
      <c r="AT24" s="10">
        <v>73</v>
      </c>
      <c r="AU24" s="10">
        <v>69</v>
      </c>
      <c r="AV24" s="10">
        <v>13</v>
      </c>
      <c r="AW24" s="10">
        <v>16</v>
      </c>
      <c r="AX24" s="10">
        <v>8</v>
      </c>
      <c r="AY24" s="10">
        <v>7</v>
      </c>
      <c r="AZ24" s="10">
        <v>6</v>
      </c>
      <c r="BA24" s="14">
        <v>8</v>
      </c>
      <c r="BB24" s="13">
        <v>12.54</v>
      </c>
      <c r="BC24" s="8">
        <v>6.55</v>
      </c>
      <c r="BD24" s="8">
        <v>2.23</v>
      </c>
      <c r="BE24" s="8">
        <v>1.54</v>
      </c>
      <c r="BF24" s="13">
        <v>1.37</v>
      </c>
      <c r="BG24" s="8">
        <v>0.69</v>
      </c>
      <c r="BH24" s="13">
        <v>1.03</v>
      </c>
      <c r="BI24" s="13">
        <v>0.78</v>
      </c>
      <c r="BJ24" s="10">
        <v>237</v>
      </c>
      <c r="BK24" s="10">
        <v>319</v>
      </c>
      <c r="BL24" s="9">
        <v>13.3</v>
      </c>
      <c r="BM24" s="8">
        <v>12.54</v>
      </c>
      <c r="BN24" s="8">
        <v>0.32</v>
      </c>
      <c r="BO24" s="8">
        <v>0.4</v>
      </c>
      <c r="BP24" s="10">
        <v>23</v>
      </c>
      <c r="BQ24" s="14">
        <v>50</v>
      </c>
      <c r="BR24" s="14">
        <v>103</v>
      </c>
      <c r="BS24" s="10">
        <v>68</v>
      </c>
      <c r="BT24" s="8">
        <v>0.19</v>
      </c>
      <c r="BU24" s="8">
        <v>0.08</v>
      </c>
      <c r="BV24" s="10">
        <v>23</v>
      </c>
      <c r="BW24" s="10">
        <v>26</v>
      </c>
      <c r="BX24" s="8">
        <v>0.7</v>
      </c>
      <c r="BY24" s="8">
        <v>0.92</v>
      </c>
      <c r="BZ24" s="10">
        <v>26015593</v>
      </c>
      <c r="CA24" s="10">
        <v>26030059</v>
      </c>
      <c r="CB24" s="12">
        <v>47</v>
      </c>
      <c r="CC24" s="12">
        <v>47</v>
      </c>
      <c r="CD24" s="17">
        <v>431.4</v>
      </c>
      <c r="CE24" s="17">
        <v>341.3</v>
      </c>
      <c r="CF24" s="21">
        <f t="shared" si="3"/>
        <v>0.10894761242466389</v>
      </c>
      <c r="CG24" s="11">
        <f t="shared" si="3"/>
        <v>0.13770876062115439</v>
      </c>
      <c r="CH24" s="18"/>
      <c r="CJ24" s="55" t="s">
        <v>101</v>
      </c>
    </row>
    <row r="25" spans="1:88" x14ac:dyDescent="0.2">
      <c r="A25" s="1" t="s">
        <v>188</v>
      </c>
      <c r="B25" s="1" t="s">
        <v>189</v>
      </c>
      <c r="C25" s="1">
        <v>20241151</v>
      </c>
      <c r="D25" s="2">
        <v>380260170343852</v>
      </c>
      <c r="E25" s="67">
        <v>0</v>
      </c>
      <c r="F25" s="1">
        <v>28.7</v>
      </c>
      <c r="G25" s="1">
        <v>28.7</v>
      </c>
      <c r="H25" s="1">
        <v>3</v>
      </c>
      <c r="I25" s="1">
        <v>3</v>
      </c>
      <c r="J25" s="56">
        <f>DogSample3[[#This Row],[Weight pre (kg)]]*4.5/50</f>
        <v>2.5830000000000002</v>
      </c>
      <c r="K25" s="1" t="s">
        <v>186</v>
      </c>
      <c r="L25" s="55" t="s">
        <v>190</v>
      </c>
      <c r="M25" s="3">
        <v>45175</v>
      </c>
      <c r="N25" s="3">
        <v>45479</v>
      </c>
      <c r="O25" s="55">
        <f t="shared" si="0"/>
        <v>304</v>
      </c>
      <c r="P25" s="55" t="s">
        <v>104</v>
      </c>
      <c r="Q25" s="55" t="s">
        <v>94</v>
      </c>
      <c r="R25" s="55" t="s">
        <v>191</v>
      </c>
      <c r="S25" s="4">
        <v>46090</v>
      </c>
      <c r="T25">
        <f t="shared" si="1"/>
        <v>611</v>
      </c>
      <c r="U25" s="55" t="s">
        <v>96</v>
      </c>
      <c r="V25" s="55" t="s">
        <v>137</v>
      </c>
      <c r="W25" s="55" t="s">
        <v>192</v>
      </c>
      <c r="X25" s="3">
        <v>45531</v>
      </c>
      <c r="Y25" s="55" t="s">
        <v>193</v>
      </c>
      <c r="Z25" s="4">
        <v>46090</v>
      </c>
      <c r="AA25" s="61">
        <f>DogSample3[[#This Row],[Behavioural recording start]]+7</f>
        <v>46097</v>
      </c>
      <c r="AB25" s="65">
        <v>9.57</v>
      </c>
      <c r="AC25" s="4">
        <f>DogSample3[[#This Row],[1st Blood sample]]</f>
        <v>46097</v>
      </c>
      <c r="AD25" s="4">
        <f>DogSample3[[#This Row],[Treatment start]]+40</f>
        <v>46137</v>
      </c>
      <c r="AE25" s="5">
        <f>DogSample3[[#This Row],[2nd Behavioural recording start]]+4</f>
        <v>46141</v>
      </c>
      <c r="AF25" s="4">
        <f>DogSample3[[#This Row],[2nd Behavioural recording start]]+5</f>
        <v>46142</v>
      </c>
      <c r="AG25" s="8">
        <v>9.32</v>
      </c>
      <c r="AH25" s="8">
        <v>7.34</v>
      </c>
      <c r="AI25" s="8">
        <v>7.06</v>
      </c>
      <c r="AJ25" s="8">
        <v>16.3</v>
      </c>
      <c r="AK25" s="8">
        <v>16.600000000000001</v>
      </c>
      <c r="AL25" s="8">
        <v>46.9</v>
      </c>
      <c r="AM25" s="8">
        <v>48.2</v>
      </c>
      <c r="AN25" s="8">
        <v>34.799999999999997</v>
      </c>
      <c r="AO25" s="8">
        <v>34.4</v>
      </c>
      <c r="AP25" s="8">
        <v>11.1</v>
      </c>
      <c r="AQ25" s="8">
        <v>13.7</v>
      </c>
      <c r="AR25" s="8">
        <v>8.9</v>
      </c>
      <c r="AS25" s="8">
        <v>10.79</v>
      </c>
      <c r="AT25" s="15">
        <v>58</v>
      </c>
      <c r="AU25" s="15">
        <v>51</v>
      </c>
      <c r="AV25" s="14">
        <v>34</v>
      </c>
      <c r="AW25" s="14">
        <v>29</v>
      </c>
      <c r="AX25" s="10">
        <v>4</v>
      </c>
      <c r="AY25" s="10">
        <v>9</v>
      </c>
      <c r="AZ25" s="10">
        <v>4</v>
      </c>
      <c r="BA25" s="14">
        <v>13</v>
      </c>
      <c r="BB25" s="8">
        <v>5.16</v>
      </c>
      <c r="BC25" s="8">
        <v>5.5</v>
      </c>
      <c r="BD25" s="8">
        <v>3.04</v>
      </c>
      <c r="BE25" s="8">
        <v>3.17</v>
      </c>
      <c r="BF25" s="8">
        <v>0.32</v>
      </c>
      <c r="BG25" s="8">
        <v>0.93</v>
      </c>
      <c r="BH25" s="8">
        <v>0.38</v>
      </c>
      <c r="BI25" s="13">
        <v>1.39</v>
      </c>
      <c r="BJ25" s="10">
        <v>209</v>
      </c>
      <c r="BK25" s="10">
        <v>264</v>
      </c>
      <c r="BL25" s="9">
        <v>11.5</v>
      </c>
      <c r="BM25" s="8">
        <v>10.5</v>
      </c>
      <c r="BN25" s="8">
        <v>0.24</v>
      </c>
      <c r="BO25" s="8">
        <v>0.28000000000000003</v>
      </c>
      <c r="BP25" s="10">
        <v>35</v>
      </c>
      <c r="BQ25" s="14">
        <v>43</v>
      </c>
      <c r="BR25" s="10">
        <v>25</v>
      </c>
      <c r="BS25" s="10">
        <v>29</v>
      </c>
      <c r="BT25" s="8">
        <v>0.14000000000000001</v>
      </c>
      <c r="BU25" s="8">
        <v>0.36</v>
      </c>
      <c r="BV25" s="10">
        <v>35</v>
      </c>
      <c r="BW25" s="14">
        <v>61</v>
      </c>
      <c r="BX25" s="8">
        <v>1.1299999999999999</v>
      </c>
      <c r="BY25" s="8">
        <v>1.58</v>
      </c>
      <c r="BZ25" s="10">
        <v>26025637</v>
      </c>
      <c r="CA25" s="68">
        <v>26039682</v>
      </c>
      <c r="CB25" s="12">
        <v>27</v>
      </c>
      <c r="CC25" s="11"/>
      <c r="CD25" s="83">
        <v>366.6</v>
      </c>
      <c r="CE25" s="11">
        <v>367.6</v>
      </c>
      <c r="CF25" s="21">
        <f t="shared" si="3"/>
        <v>7.3649754500818329E-2</v>
      </c>
      <c r="CG25" s="11" t="e">
        <f>(CC25/#REF!)</f>
        <v>#REF!</v>
      </c>
      <c r="CH25" s="18"/>
      <c r="CJ25" s="55" t="s">
        <v>133</v>
      </c>
    </row>
    <row r="26" spans="1:88" x14ac:dyDescent="0.2">
      <c r="A26" s="1" t="s">
        <v>194</v>
      </c>
      <c r="B26" s="1" t="s">
        <v>195</v>
      </c>
      <c r="C26" s="1">
        <v>20241910</v>
      </c>
      <c r="D26" s="2">
        <v>380260170343192</v>
      </c>
      <c r="E26" s="2">
        <v>1</v>
      </c>
      <c r="F26" s="1">
        <v>26</v>
      </c>
      <c r="G26" s="1">
        <v>26.5</v>
      </c>
      <c r="H26" s="1">
        <v>3</v>
      </c>
      <c r="I26" s="1">
        <v>3</v>
      </c>
      <c r="J26" s="1">
        <f>DogSample3[[#This Row],[Weight pre (kg)]]*4.5/50</f>
        <v>2.34</v>
      </c>
      <c r="K26" s="1" t="s">
        <v>92</v>
      </c>
      <c r="M26" s="3">
        <v>44871</v>
      </c>
      <c r="N26" s="3">
        <v>45601</v>
      </c>
      <c r="O26" s="55">
        <f t="shared" si="0"/>
        <v>730</v>
      </c>
      <c r="P26" s="55" t="s">
        <v>93</v>
      </c>
      <c r="Q26" s="55" t="s">
        <v>105</v>
      </c>
      <c r="R26" s="55" t="s">
        <v>95</v>
      </c>
      <c r="S26" s="4">
        <v>46040</v>
      </c>
      <c r="T26">
        <f t="shared" si="1"/>
        <v>439</v>
      </c>
      <c r="U26" s="55" t="s">
        <v>96</v>
      </c>
      <c r="V26" s="55" t="s">
        <v>137</v>
      </c>
      <c r="W26" s="55"/>
      <c r="X26" s="3">
        <v>45617</v>
      </c>
      <c r="Y26" s="55" t="s">
        <v>193</v>
      </c>
      <c r="Z26" s="4">
        <v>46040</v>
      </c>
      <c r="AA26" s="61">
        <f>DogSample3[[#This Row],[Behavioural recording start]]+5</f>
        <v>46045</v>
      </c>
      <c r="AB26" s="65">
        <v>10.09</v>
      </c>
      <c r="AC26" s="4">
        <f>DogSample3[[#This Row],[1st Blood sample]]+1</f>
        <v>46046</v>
      </c>
      <c r="AD26" s="4">
        <f>DogSample3[[#This Row],[Treatment start]]+40</f>
        <v>46086</v>
      </c>
      <c r="AE26" s="5">
        <f>DogSample3[[#This Row],[2nd Behavioural recording start]]+4</f>
        <v>46090</v>
      </c>
      <c r="AF26" s="4">
        <f>DogSample3[[#This Row],[2nd Behavioural recording start]]+5</f>
        <v>46091</v>
      </c>
      <c r="AG26" s="8">
        <v>9.44</v>
      </c>
      <c r="AH26" s="8">
        <v>8.1</v>
      </c>
      <c r="AI26" s="8">
        <v>7.48</v>
      </c>
      <c r="AJ26" s="13">
        <v>19.71</v>
      </c>
      <c r="AK26" s="8">
        <v>17</v>
      </c>
      <c r="AL26" s="8">
        <v>54.7</v>
      </c>
      <c r="AM26" s="8">
        <v>49.2</v>
      </c>
      <c r="AN26" s="66">
        <v>36</v>
      </c>
      <c r="AO26" s="8">
        <v>34.6</v>
      </c>
      <c r="AP26" s="8">
        <v>13.6</v>
      </c>
      <c r="AQ26" s="8">
        <v>10.8</v>
      </c>
      <c r="AR26" s="8">
        <v>7.47</v>
      </c>
      <c r="AS26" s="8">
        <v>5.94</v>
      </c>
      <c r="AT26" s="10">
        <v>73</v>
      </c>
      <c r="AU26" s="10">
        <v>68</v>
      </c>
      <c r="AV26" s="10">
        <v>22</v>
      </c>
      <c r="AW26" s="14">
        <v>27</v>
      </c>
      <c r="AX26" s="10">
        <v>5</v>
      </c>
      <c r="AY26" s="10">
        <v>3</v>
      </c>
      <c r="AZ26" s="10">
        <v>3</v>
      </c>
      <c r="BA26" s="10">
        <v>2</v>
      </c>
      <c r="BB26" s="8">
        <v>5.43</v>
      </c>
      <c r="BC26" s="8">
        <v>4.04</v>
      </c>
      <c r="BD26" s="8">
        <v>1.47</v>
      </c>
      <c r="BE26" s="8">
        <v>1.6</v>
      </c>
      <c r="BF26" s="8">
        <v>0.36</v>
      </c>
      <c r="BG26" s="8">
        <v>0.18</v>
      </c>
      <c r="BH26" s="8">
        <v>0.21</v>
      </c>
      <c r="BI26" s="8">
        <v>0.12</v>
      </c>
      <c r="BJ26" s="10">
        <v>241</v>
      </c>
      <c r="BK26" s="10">
        <v>283</v>
      </c>
      <c r="BL26" s="9">
        <v>9.6999999999999993</v>
      </c>
      <c r="BM26" s="9">
        <v>9.1999999999999993</v>
      </c>
      <c r="BN26" s="8">
        <v>0.26</v>
      </c>
      <c r="BO26" s="8">
        <v>0.26</v>
      </c>
      <c r="BP26" s="10">
        <v>35</v>
      </c>
      <c r="BQ26" s="10">
        <v>24</v>
      </c>
      <c r="BR26" s="10">
        <v>29</v>
      </c>
      <c r="BS26" s="10">
        <v>29</v>
      </c>
      <c r="BT26" s="8">
        <v>0.16</v>
      </c>
      <c r="BU26" s="8">
        <v>0.14000000000000001</v>
      </c>
      <c r="BV26" s="10">
        <v>37</v>
      </c>
      <c r="BW26" s="10">
        <v>43</v>
      </c>
      <c r="BX26" s="8">
        <v>0.97</v>
      </c>
      <c r="BY26" s="8">
        <v>1.03</v>
      </c>
      <c r="BZ26" s="10">
        <v>26008540</v>
      </c>
      <c r="CA26" s="84">
        <v>26023899</v>
      </c>
      <c r="CB26" s="12">
        <v>52</v>
      </c>
      <c r="CC26" s="85" t="s">
        <v>196</v>
      </c>
      <c r="CD26" s="17">
        <v>372.1</v>
      </c>
      <c r="CE26" s="11"/>
      <c r="CF26" s="21">
        <f t="shared" si="3"/>
        <v>0.13974737973662993</v>
      </c>
      <c r="CG26" s="11" t="e">
        <f t="shared" si="3"/>
        <v>#VALUE!</v>
      </c>
      <c r="CH26" s="63" t="s">
        <v>100</v>
      </c>
      <c r="CJ26" s="55" t="s">
        <v>101</v>
      </c>
    </row>
    <row r="27" spans="1:88" x14ac:dyDescent="0.2">
      <c r="A27" s="1" t="s">
        <v>197</v>
      </c>
      <c r="B27" s="1" t="s">
        <v>198</v>
      </c>
      <c r="C27" s="1">
        <v>20220876</v>
      </c>
      <c r="D27" s="2">
        <v>380260044552020</v>
      </c>
      <c r="E27" s="67">
        <v>0</v>
      </c>
      <c r="F27" s="1">
        <v>33</v>
      </c>
      <c r="G27" s="1"/>
      <c r="H27" s="1">
        <v>3</v>
      </c>
      <c r="I27" s="1"/>
      <c r="J27" s="1">
        <f>DogSample3[[#This Row],[Weight pre (kg)]]*4.5/50</f>
        <v>2.97</v>
      </c>
      <c r="K27" s="1" t="s">
        <v>92</v>
      </c>
      <c r="L27" s="1" t="s">
        <v>199</v>
      </c>
      <c r="M27" s="3">
        <v>44647</v>
      </c>
      <c r="N27" s="3">
        <v>44708</v>
      </c>
      <c r="O27" s="55">
        <f t="shared" si="0"/>
        <v>61</v>
      </c>
      <c r="P27" s="55" t="s">
        <v>104</v>
      </c>
      <c r="Q27" s="55" t="s">
        <v>94</v>
      </c>
      <c r="R27" s="55" t="s">
        <v>95</v>
      </c>
      <c r="S27" s="4">
        <v>46131</v>
      </c>
      <c r="T27">
        <f t="shared" si="1"/>
        <v>1423</v>
      </c>
      <c r="U27" s="55" t="s">
        <v>96</v>
      </c>
      <c r="V27" s="55" t="s">
        <v>137</v>
      </c>
      <c r="W27" s="55"/>
      <c r="X27" s="3">
        <v>44893</v>
      </c>
      <c r="Y27" s="55" t="s">
        <v>99</v>
      </c>
      <c r="Z27" s="4">
        <v>46131</v>
      </c>
      <c r="AA27" s="61">
        <f>DogSample3[[#This Row],[Behavioural recording start]]+5</f>
        <v>46136</v>
      </c>
      <c r="AB27" s="65">
        <v>10.48</v>
      </c>
      <c r="AC27" s="4">
        <f>DogSample3[[#This Row],[1st Blood sample]]+1</f>
        <v>46137</v>
      </c>
      <c r="AD27" s="4">
        <f>DogSample3[[#This Row],[Treatment start]]+40</f>
        <v>46177</v>
      </c>
      <c r="AE27" s="5">
        <f>DogSample3[[#This Row],[2nd Behavioural recording start]]+4</f>
        <v>46181</v>
      </c>
      <c r="AF27" s="4">
        <f>DogSample3[[#This Row],[2nd Behavioural recording start]]+5</f>
        <v>46182</v>
      </c>
      <c r="AH27" s="23">
        <v>7.73</v>
      </c>
      <c r="AI27" s="8">
        <v>7.99</v>
      </c>
      <c r="AJ27" s="13">
        <v>18.11</v>
      </c>
      <c r="AK27" s="13">
        <v>19.71</v>
      </c>
      <c r="AL27" s="8">
        <v>52.4</v>
      </c>
      <c r="AM27" s="8">
        <v>53.7</v>
      </c>
      <c r="AN27" s="8">
        <v>34.56</v>
      </c>
      <c r="AO27" s="8">
        <v>36.799999999999997</v>
      </c>
      <c r="AP27" s="8">
        <v>12.8</v>
      </c>
      <c r="AQ27" s="8">
        <v>13.7</v>
      </c>
      <c r="AR27" s="8">
        <v>8.2100000000000009</v>
      </c>
      <c r="AS27" s="8">
        <v>7.73</v>
      </c>
      <c r="AT27" s="15">
        <v>51</v>
      </c>
      <c r="AU27" s="15">
        <v>47</v>
      </c>
      <c r="AV27" s="14">
        <v>36</v>
      </c>
      <c r="AW27" s="14">
        <v>37</v>
      </c>
      <c r="AX27" s="10">
        <v>8</v>
      </c>
      <c r="AY27" s="10">
        <v>8</v>
      </c>
      <c r="AZ27" s="10">
        <v>6</v>
      </c>
      <c r="BA27" s="10">
        <v>8</v>
      </c>
      <c r="BB27" s="8">
        <v>4.1900000000000004</v>
      </c>
      <c r="BC27" s="8">
        <v>3.63</v>
      </c>
      <c r="BD27" s="8">
        <v>2.95</v>
      </c>
      <c r="BE27" s="8">
        <v>2.86</v>
      </c>
      <c r="BF27" s="8">
        <v>0.67</v>
      </c>
      <c r="BG27" s="8">
        <v>0.63</v>
      </c>
      <c r="BH27" s="8">
        <v>0.5</v>
      </c>
      <c r="BI27" s="8">
        <v>0.64</v>
      </c>
      <c r="BJ27" s="10">
        <v>162</v>
      </c>
      <c r="BK27" s="10">
        <v>188</v>
      </c>
      <c r="BL27" s="9">
        <v>10.8</v>
      </c>
      <c r="BM27" s="8">
        <v>10.4</v>
      </c>
      <c r="BN27" s="16">
        <v>0.17</v>
      </c>
      <c r="BO27" s="8">
        <v>0.2</v>
      </c>
      <c r="BP27" s="14">
        <v>41</v>
      </c>
      <c r="BQ27" s="14">
        <v>75</v>
      </c>
      <c r="BR27" s="10">
        <v>39</v>
      </c>
      <c r="BS27" s="10">
        <v>26</v>
      </c>
      <c r="BT27" s="8">
        <v>0.1</v>
      </c>
      <c r="BU27" s="8">
        <v>0.38</v>
      </c>
      <c r="BV27" s="10">
        <v>38</v>
      </c>
      <c r="BW27" s="10">
        <v>39</v>
      </c>
      <c r="BX27" s="8">
        <v>1.19</v>
      </c>
      <c r="BY27" s="8">
        <v>1.03</v>
      </c>
      <c r="BZ27" s="10">
        <v>26037948</v>
      </c>
      <c r="CA27" s="4"/>
      <c r="CB27" s="70">
        <v>11</v>
      </c>
      <c r="CC27" s="12"/>
      <c r="CD27" s="17">
        <v>317.3</v>
      </c>
      <c r="CE27" s="11"/>
      <c r="CF27" s="21">
        <f t="shared" si="3"/>
        <v>3.4667507091080997E-2</v>
      </c>
      <c r="CG27" s="11" t="e">
        <f t="shared" si="3"/>
        <v>#DIV/0!</v>
      </c>
      <c r="CH27" s="18"/>
      <c r="CJ27" s="55" t="s">
        <v>101</v>
      </c>
    </row>
    <row r="28" spans="1:88" x14ac:dyDescent="0.2">
      <c r="A28" s="1" t="s">
        <v>200</v>
      </c>
      <c r="B28" s="1" t="s">
        <v>201</v>
      </c>
      <c r="C28" s="1">
        <v>20231111</v>
      </c>
      <c r="D28" s="2">
        <v>380260044730305</v>
      </c>
      <c r="E28" s="2">
        <v>0</v>
      </c>
      <c r="F28" s="1">
        <v>21.1</v>
      </c>
      <c r="G28" s="1">
        <v>22.5</v>
      </c>
      <c r="H28" s="1">
        <v>3</v>
      </c>
      <c r="I28" s="1">
        <v>3</v>
      </c>
      <c r="J28" s="56">
        <f>DogSample3[[#This Row],[Weight pre (kg)]]*4.5/50</f>
        <v>1.899</v>
      </c>
      <c r="K28" s="1" t="s">
        <v>202</v>
      </c>
      <c r="L28" s="1" t="s">
        <v>203</v>
      </c>
      <c r="M28" s="3">
        <v>44851</v>
      </c>
      <c r="N28" s="3">
        <v>45094</v>
      </c>
      <c r="O28" s="55">
        <f t="shared" si="0"/>
        <v>243</v>
      </c>
      <c r="P28" s="55" t="s">
        <v>93</v>
      </c>
      <c r="Q28" s="55" t="s">
        <v>105</v>
      </c>
      <c r="R28" s="55" t="s">
        <v>106</v>
      </c>
      <c r="S28" s="4">
        <v>46105</v>
      </c>
      <c r="T28">
        <f t="shared" si="1"/>
        <v>1011</v>
      </c>
      <c r="U28" s="55" t="s">
        <v>96</v>
      </c>
      <c r="V28" s="55" t="s">
        <v>137</v>
      </c>
      <c r="W28" s="55"/>
      <c r="X28" s="3">
        <v>45117</v>
      </c>
      <c r="Y28" s="55" t="s">
        <v>99</v>
      </c>
      <c r="Z28" s="4">
        <v>46105</v>
      </c>
      <c r="AA28" s="61">
        <f>DogSample3[[#This Row],[Behavioural recording start]]+5</f>
        <v>46110</v>
      </c>
      <c r="AB28" s="65">
        <v>10.28</v>
      </c>
      <c r="AC28" s="4">
        <f>DogSample3[[#This Row],[1st Blood sample]]+3</f>
        <v>46113</v>
      </c>
      <c r="AD28" s="4">
        <f>DogSample3[[#This Row],[Treatment start]]+40</f>
        <v>46153</v>
      </c>
      <c r="AE28" s="5">
        <f>DogSample3[[#This Row],[2nd Behavioural recording start]]+4</f>
        <v>46157</v>
      </c>
      <c r="AF28" s="4">
        <f>DogSample3[[#This Row],[2nd Behavioural recording start]]+5</f>
        <v>46158</v>
      </c>
      <c r="AG28" s="8">
        <v>10.48</v>
      </c>
      <c r="AH28" s="13">
        <v>8.51</v>
      </c>
      <c r="AI28" s="8">
        <v>8.09</v>
      </c>
      <c r="AJ28" s="13">
        <v>21.11</v>
      </c>
      <c r="AK28" s="13">
        <v>19.91</v>
      </c>
      <c r="AL28" s="13">
        <v>57.51</v>
      </c>
      <c r="AM28" s="8">
        <v>54</v>
      </c>
      <c r="AN28" s="66">
        <v>36.700000000000003</v>
      </c>
      <c r="AO28" s="8">
        <v>36.799999999999997</v>
      </c>
      <c r="AP28" s="13">
        <v>15.41</v>
      </c>
      <c r="AQ28" s="11">
        <v>13.7</v>
      </c>
      <c r="AR28" s="8">
        <v>7.93</v>
      </c>
      <c r="AS28" s="8">
        <v>8.4499999999999993</v>
      </c>
      <c r="AT28" s="10">
        <v>58</v>
      </c>
      <c r="AU28" s="10">
        <v>62</v>
      </c>
      <c r="AV28" s="14">
        <v>33</v>
      </c>
      <c r="AW28" s="14">
        <v>28</v>
      </c>
      <c r="AX28" s="10">
        <v>5</v>
      </c>
      <c r="AY28" s="10">
        <v>6</v>
      </c>
      <c r="AZ28" s="10">
        <v>4</v>
      </c>
      <c r="BA28" s="10">
        <v>6</v>
      </c>
      <c r="BB28" s="8">
        <v>4.5999999999999996</v>
      </c>
      <c r="BC28" s="8">
        <v>5.24</v>
      </c>
      <c r="BD28" s="8">
        <v>2.62</v>
      </c>
      <c r="BE28" s="8">
        <v>2.37</v>
      </c>
      <c r="BF28" s="8">
        <v>0.41</v>
      </c>
      <c r="BG28" s="8">
        <v>0.47</v>
      </c>
      <c r="BH28" s="8">
        <v>0.32</v>
      </c>
      <c r="BI28" s="8">
        <v>0.5</v>
      </c>
      <c r="BJ28" s="10">
        <v>366</v>
      </c>
      <c r="BK28" s="10">
        <v>379</v>
      </c>
      <c r="BL28" s="9">
        <v>9.3000000000000007</v>
      </c>
      <c r="BM28" s="8">
        <v>9.3000000000000007</v>
      </c>
      <c r="BN28" s="8">
        <v>0.34</v>
      </c>
      <c r="BO28" s="8">
        <v>0.35</v>
      </c>
      <c r="BP28" s="10">
        <v>33</v>
      </c>
      <c r="BQ28" s="14">
        <v>47</v>
      </c>
      <c r="BR28" s="10">
        <v>48</v>
      </c>
      <c r="BS28" s="10">
        <v>42</v>
      </c>
      <c r="BT28" s="8">
        <v>0.15</v>
      </c>
      <c r="BU28" s="8">
        <v>0.28000000000000003</v>
      </c>
      <c r="BV28" s="10">
        <v>33</v>
      </c>
      <c r="BW28" s="10">
        <v>36</v>
      </c>
      <c r="BX28" s="8">
        <v>0.91</v>
      </c>
      <c r="BY28" s="8">
        <v>1.1399999999999999</v>
      </c>
      <c r="BZ28" s="10">
        <v>26030483</v>
      </c>
      <c r="CA28" s="68">
        <v>26045260</v>
      </c>
      <c r="CB28" s="12">
        <v>29</v>
      </c>
      <c r="CC28" s="12"/>
      <c r="CD28" s="17">
        <v>335.1</v>
      </c>
      <c r="CE28" s="11"/>
      <c r="CF28" s="21">
        <f t="shared" si="3"/>
        <v>8.6541330945986261E-2</v>
      </c>
      <c r="CG28" s="11" t="e">
        <f t="shared" si="3"/>
        <v>#DIV/0!</v>
      </c>
      <c r="CH28" s="18"/>
      <c r="CJ28" s="55" t="s">
        <v>101</v>
      </c>
    </row>
    <row r="29" spans="1:88" x14ac:dyDescent="0.2">
      <c r="A29" s="1" t="s">
        <v>204</v>
      </c>
      <c r="B29" s="1" t="s">
        <v>205</v>
      </c>
      <c r="C29" s="1">
        <v>20241133</v>
      </c>
      <c r="D29" s="2">
        <v>380260044997884</v>
      </c>
      <c r="E29" s="67">
        <v>0</v>
      </c>
      <c r="F29" s="1">
        <v>24.3</v>
      </c>
      <c r="G29" s="1">
        <v>25.7</v>
      </c>
      <c r="H29" s="1">
        <v>3</v>
      </c>
      <c r="I29" s="1">
        <v>4</v>
      </c>
      <c r="J29" s="56">
        <f>DogSample3[[#This Row],[Weight pre (kg)]]*4.5/50</f>
        <v>2.1870000000000003</v>
      </c>
      <c r="K29" s="1" t="s">
        <v>92</v>
      </c>
      <c r="M29" s="3">
        <v>43650</v>
      </c>
      <c r="N29" s="3">
        <v>45476</v>
      </c>
      <c r="O29" s="55">
        <f t="shared" si="0"/>
        <v>1826</v>
      </c>
      <c r="P29" s="55" t="s">
        <v>104</v>
      </c>
      <c r="Q29" s="55" t="s">
        <v>105</v>
      </c>
      <c r="R29" s="55" t="s">
        <v>95</v>
      </c>
      <c r="S29" s="4">
        <v>46047</v>
      </c>
      <c r="T29">
        <f t="shared" si="1"/>
        <v>571</v>
      </c>
      <c r="U29" s="55" t="s">
        <v>96</v>
      </c>
      <c r="V29" s="55" t="s">
        <v>137</v>
      </c>
      <c r="W29" s="55"/>
      <c r="X29" s="3">
        <v>45510</v>
      </c>
      <c r="Y29" s="55" t="s">
        <v>99</v>
      </c>
      <c r="Z29" s="4">
        <v>46047</v>
      </c>
      <c r="AA29" s="61">
        <f>DogSample3[[#This Row],[Behavioural recording start]]+5</f>
        <v>46052</v>
      </c>
      <c r="AB29" s="65">
        <v>9.39</v>
      </c>
      <c r="AC29" s="4">
        <f>DogSample3[[#This Row],[1st Blood sample]]+1</f>
        <v>46053</v>
      </c>
      <c r="AD29" s="4">
        <f>DogSample3[[#This Row],[Treatment start]]+40</f>
        <v>46093</v>
      </c>
      <c r="AE29" s="5">
        <f>DogSample3[[#This Row],[2nd Behavioural recording start]]+4</f>
        <v>46097</v>
      </c>
      <c r="AF29" s="4">
        <f>DogSample3[[#This Row],[2nd Behavioural recording start]]+5</f>
        <v>46098</v>
      </c>
      <c r="AG29" s="8">
        <v>10.1</v>
      </c>
      <c r="AH29" s="8">
        <v>6.57</v>
      </c>
      <c r="AI29" s="8">
        <v>6.85</v>
      </c>
      <c r="AJ29" s="8">
        <v>15.1</v>
      </c>
      <c r="AK29" s="8">
        <v>15.2</v>
      </c>
      <c r="AL29" s="8">
        <v>43.8</v>
      </c>
      <c r="AM29" s="8">
        <v>46.1</v>
      </c>
      <c r="AN29" s="11">
        <v>34.5</v>
      </c>
      <c r="AO29" s="8">
        <v>33</v>
      </c>
      <c r="AP29" s="8">
        <v>11.9</v>
      </c>
      <c r="AQ29" s="8">
        <v>12</v>
      </c>
      <c r="AR29" s="8">
        <v>7.7</v>
      </c>
      <c r="AS29" s="8">
        <v>8.3800000000000008</v>
      </c>
      <c r="AT29" s="10">
        <v>62</v>
      </c>
      <c r="AU29" s="10">
        <v>57</v>
      </c>
      <c r="AV29" s="14">
        <v>29</v>
      </c>
      <c r="AW29" s="14">
        <v>31</v>
      </c>
      <c r="AX29" s="10">
        <v>4</v>
      </c>
      <c r="AY29" s="10">
        <v>3</v>
      </c>
      <c r="AZ29" s="10">
        <v>4</v>
      </c>
      <c r="BA29" s="14">
        <v>9</v>
      </c>
      <c r="BB29" s="8">
        <v>4.8099999999999996</v>
      </c>
      <c r="BC29" s="8">
        <v>4.78</v>
      </c>
      <c r="BD29" s="8">
        <v>2.2599999999999998</v>
      </c>
      <c r="BE29" s="8">
        <v>2.6</v>
      </c>
      <c r="BF29" s="8">
        <v>0.33</v>
      </c>
      <c r="BG29" s="8">
        <v>0.25</v>
      </c>
      <c r="BH29" s="8">
        <v>0.3</v>
      </c>
      <c r="BI29" s="13">
        <v>0.75</v>
      </c>
      <c r="BJ29" s="15">
        <v>149</v>
      </c>
      <c r="BK29" s="10">
        <v>234</v>
      </c>
      <c r="BL29" s="9">
        <v>10.7</v>
      </c>
      <c r="BM29" s="9">
        <v>11.1</v>
      </c>
      <c r="BN29" s="16">
        <v>0.16</v>
      </c>
      <c r="BO29" s="8">
        <v>0.26</v>
      </c>
      <c r="BP29" s="10">
        <v>23</v>
      </c>
      <c r="BQ29" s="10">
        <v>25</v>
      </c>
      <c r="BR29" s="10">
        <v>52</v>
      </c>
      <c r="BS29" s="10">
        <v>39</v>
      </c>
      <c r="BT29" s="8">
        <v>0.11</v>
      </c>
      <c r="BU29" s="8">
        <v>0.16</v>
      </c>
      <c r="BV29" s="10">
        <v>39</v>
      </c>
      <c r="BW29" s="10">
        <v>34</v>
      </c>
      <c r="BX29" s="8">
        <v>1</v>
      </c>
      <c r="BY29" s="8">
        <v>1.2</v>
      </c>
      <c r="BZ29" s="10">
        <v>26011298</v>
      </c>
      <c r="CA29" s="10">
        <v>26026075</v>
      </c>
      <c r="CB29" s="12">
        <v>72</v>
      </c>
      <c r="CC29" s="70">
        <v>10</v>
      </c>
      <c r="CD29" s="17">
        <v>346.9</v>
      </c>
      <c r="CE29" s="17">
        <v>261.5</v>
      </c>
      <c r="CF29" s="21">
        <f t="shared" si="3"/>
        <v>0.20755260882098589</v>
      </c>
      <c r="CG29" s="11">
        <f t="shared" si="3"/>
        <v>3.8240917782026769E-2</v>
      </c>
      <c r="CH29" s="18"/>
      <c r="CJ29" s="55" t="s">
        <v>101</v>
      </c>
    </row>
    <row r="30" spans="1:88" x14ac:dyDescent="0.2">
      <c r="A30" s="1" t="s">
        <v>206</v>
      </c>
      <c r="B30" s="1" t="s">
        <v>207</v>
      </c>
      <c r="C30" s="1">
        <v>20241838</v>
      </c>
      <c r="D30" s="2">
        <v>380260170343750</v>
      </c>
      <c r="E30" s="67">
        <v>0</v>
      </c>
      <c r="F30" s="1">
        <v>29</v>
      </c>
      <c r="G30" s="1">
        <v>28</v>
      </c>
      <c r="H30" s="1">
        <v>3</v>
      </c>
      <c r="I30" s="1">
        <v>3</v>
      </c>
      <c r="J30" s="1">
        <f>DogSample3[[#This Row],[Weight pre (kg)]]*4.5/50</f>
        <v>2.61</v>
      </c>
      <c r="K30" s="1" t="s">
        <v>92</v>
      </c>
      <c r="M30" s="3">
        <v>44485</v>
      </c>
      <c r="N30" s="3">
        <v>45581</v>
      </c>
      <c r="O30" s="55">
        <f t="shared" si="0"/>
        <v>1096</v>
      </c>
      <c r="P30" s="55" t="s">
        <v>104</v>
      </c>
      <c r="Q30" s="55" t="s">
        <v>105</v>
      </c>
      <c r="R30" s="55" t="s">
        <v>106</v>
      </c>
      <c r="S30" s="72">
        <v>46133</v>
      </c>
      <c r="T30">
        <f t="shared" si="1"/>
        <v>552</v>
      </c>
      <c r="U30" s="55" t="s">
        <v>96</v>
      </c>
      <c r="V30" s="55" t="s">
        <v>137</v>
      </c>
      <c r="W30" s="55"/>
      <c r="X30" s="3">
        <v>45603</v>
      </c>
      <c r="Y30" s="55" t="s">
        <v>99</v>
      </c>
      <c r="Z30" s="72">
        <v>46133</v>
      </c>
      <c r="AA30" s="61">
        <f>DogSample3[[#This Row],[Behavioural recording start]]+6</f>
        <v>46139</v>
      </c>
      <c r="AB30" s="65">
        <v>10.199999999999999</v>
      </c>
      <c r="AC30" s="4">
        <f>DogSample3[[#This Row],[1st Blood sample]]+1</f>
        <v>46140</v>
      </c>
      <c r="AD30" s="4">
        <f>DogSample3[[#This Row],[Treatment start]]+40</f>
        <v>46180</v>
      </c>
      <c r="AE30" s="5">
        <f>DogSample3[[#This Row],[2nd Behavioural recording start]]+4</f>
        <v>46184</v>
      </c>
      <c r="AF30" s="4">
        <f>DogSample3[[#This Row],[2nd Behavioural recording start]]+5</f>
        <v>46185</v>
      </c>
      <c r="AG30" s="8">
        <v>10.39</v>
      </c>
      <c r="AH30" s="8">
        <v>6.54</v>
      </c>
      <c r="AI30" s="8">
        <v>6.63</v>
      </c>
      <c r="AJ30" s="8">
        <v>16.100000000000001</v>
      </c>
      <c r="AK30" s="8">
        <v>16.3</v>
      </c>
      <c r="AL30" s="8">
        <v>45.8</v>
      </c>
      <c r="AM30" s="8">
        <v>43.9</v>
      </c>
      <c r="AN30" s="8">
        <v>35.1</v>
      </c>
      <c r="AO30" s="8">
        <v>37.1</v>
      </c>
      <c r="AP30" s="8">
        <v>12.1</v>
      </c>
      <c r="AQ30" s="8">
        <v>12.2</v>
      </c>
      <c r="AR30" s="8">
        <v>5.58</v>
      </c>
      <c r="AS30" s="8">
        <v>6.19</v>
      </c>
      <c r="AT30" s="10">
        <v>67</v>
      </c>
      <c r="AU30" s="10">
        <v>72</v>
      </c>
      <c r="AV30" s="10">
        <v>19</v>
      </c>
      <c r="AW30" s="10">
        <v>14</v>
      </c>
      <c r="AX30" s="10">
        <v>8</v>
      </c>
      <c r="AY30" s="10">
        <v>7</v>
      </c>
      <c r="AZ30" s="10">
        <v>7</v>
      </c>
      <c r="BA30" s="10">
        <v>7</v>
      </c>
      <c r="BB30" s="8">
        <v>3.74</v>
      </c>
      <c r="BC30" s="8">
        <v>4.4800000000000004</v>
      </c>
      <c r="BD30" s="16">
        <v>1.08</v>
      </c>
      <c r="BE30" s="16">
        <v>0.87</v>
      </c>
      <c r="BF30" s="8">
        <v>0.44</v>
      </c>
      <c r="BG30" s="8">
        <v>0.44</v>
      </c>
      <c r="BH30" s="8">
        <v>0.41</v>
      </c>
      <c r="BI30" s="8">
        <v>0.45</v>
      </c>
      <c r="BJ30" s="10">
        <v>327</v>
      </c>
      <c r="BK30" s="10">
        <v>293</v>
      </c>
      <c r="BL30" s="9">
        <v>10.3</v>
      </c>
      <c r="BM30" s="8">
        <v>10.3</v>
      </c>
      <c r="BN30" s="8">
        <v>0.34</v>
      </c>
      <c r="BO30" s="8">
        <v>0.3</v>
      </c>
      <c r="BP30" s="10">
        <v>32</v>
      </c>
      <c r="BQ30" s="14">
        <v>51</v>
      </c>
      <c r="BR30" s="10">
        <v>29</v>
      </c>
      <c r="BS30" s="10">
        <v>35</v>
      </c>
      <c r="BT30" s="8">
        <v>0.12</v>
      </c>
      <c r="BU30" s="8">
        <v>0.27</v>
      </c>
      <c r="BV30" s="10">
        <v>26</v>
      </c>
      <c r="BW30" s="10">
        <v>28</v>
      </c>
      <c r="BX30" s="8">
        <v>0.97</v>
      </c>
      <c r="BY30" s="8">
        <v>1.25</v>
      </c>
      <c r="BZ30" s="86">
        <v>26038240</v>
      </c>
      <c r="CA30" s="4"/>
      <c r="CB30" s="12"/>
      <c r="CC30" s="12"/>
      <c r="CD30" s="17">
        <v>374.4</v>
      </c>
      <c r="CE30" s="11"/>
      <c r="CF30" s="21">
        <f t="shared" si="3"/>
        <v>0</v>
      </c>
      <c r="CG30" s="11" t="e">
        <f t="shared" si="3"/>
        <v>#DIV/0!</v>
      </c>
      <c r="CH30" s="18"/>
      <c r="CJ30" s="55" t="s">
        <v>101</v>
      </c>
    </row>
    <row r="31" spans="1:88" x14ac:dyDescent="0.2">
      <c r="A31" s="1" t="s">
        <v>208</v>
      </c>
      <c r="B31" s="1" t="s">
        <v>209</v>
      </c>
      <c r="C31" s="1">
        <v>20230316</v>
      </c>
      <c r="D31" s="2">
        <v>380260044751095</v>
      </c>
      <c r="E31" s="67">
        <v>0</v>
      </c>
      <c r="F31" s="1">
        <v>22</v>
      </c>
      <c r="G31" s="1">
        <v>22.1</v>
      </c>
      <c r="H31" s="1">
        <v>4</v>
      </c>
      <c r="I31" s="1">
        <v>4</v>
      </c>
      <c r="J31" s="1">
        <f>DogSample3[[#This Row],[Weight pre (kg)]]*4.5/50</f>
        <v>1.98</v>
      </c>
      <c r="K31" s="1" t="s">
        <v>92</v>
      </c>
      <c r="L31" s="58"/>
      <c r="M31" s="3">
        <v>44245</v>
      </c>
      <c r="N31" s="3">
        <v>44975</v>
      </c>
      <c r="O31" s="55">
        <f t="shared" si="0"/>
        <v>730</v>
      </c>
      <c r="P31" s="55" t="s">
        <v>104</v>
      </c>
      <c r="Q31" s="55" t="s">
        <v>105</v>
      </c>
      <c r="R31" s="55" t="s">
        <v>106</v>
      </c>
      <c r="S31" s="4">
        <v>46131</v>
      </c>
      <c r="T31">
        <f t="shared" si="1"/>
        <v>1156</v>
      </c>
      <c r="U31" s="55" t="s">
        <v>96</v>
      </c>
      <c r="V31" s="55" t="s">
        <v>137</v>
      </c>
      <c r="W31" s="55"/>
      <c r="X31" s="3">
        <v>45002</v>
      </c>
      <c r="Y31" s="1" t="s">
        <v>210</v>
      </c>
      <c r="Z31" s="4">
        <v>46131</v>
      </c>
      <c r="AA31" s="3">
        <f>DogSample3[[#This Row],[Behavioural recording start]]+5</f>
        <v>46136</v>
      </c>
      <c r="AB31" s="19">
        <v>11.32</v>
      </c>
      <c r="AC31" s="4">
        <f>DogSample3[[#This Row],[1st Blood sample]]+1</f>
        <v>46137</v>
      </c>
      <c r="AD31" s="4">
        <f>DogSample3[[#This Row],[Treatment start]]+40</f>
        <v>46177</v>
      </c>
      <c r="AE31" s="5">
        <f>DogSample3[[#This Row],[2nd Behavioural recording start]]+4</f>
        <v>46181</v>
      </c>
      <c r="AF31" s="4">
        <f>DogSample3[[#This Row],[2nd Behavioural recording start]]+5</f>
        <v>46182</v>
      </c>
      <c r="AG31" s="8">
        <v>10.27</v>
      </c>
      <c r="AH31" s="8">
        <v>7.2</v>
      </c>
      <c r="AI31" s="8">
        <v>8.14</v>
      </c>
      <c r="AJ31" s="8">
        <v>17.5</v>
      </c>
      <c r="AK31" s="13">
        <v>19.91</v>
      </c>
      <c r="AL31" s="8">
        <v>49</v>
      </c>
      <c r="AM31" s="8">
        <v>54.7</v>
      </c>
      <c r="AN31" s="8">
        <v>35.700000000000003</v>
      </c>
      <c r="AO31" s="8">
        <v>36.4</v>
      </c>
      <c r="AP31" s="8">
        <v>13.4</v>
      </c>
      <c r="AQ31" s="8">
        <v>14.7</v>
      </c>
      <c r="AR31" s="8">
        <v>6.58</v>
      </c>
      <c r="AS31" s="8">
        <v>5.55</v>
      </c>
      <c r="AT31" s="10">
        <v>70</v>
      </c>
      <c r="AU31" s="10">
        <v>66</v>
      </c>
      <c r="AV31" s="10">
        <v>20</v>
      </c>
      <c r="AW31" s="10">
        <v>24</v>
      </c>
      <c r="AX31" s="10">
        <v>8</v>
      </c>
      <c r="AY31" s="10">
        <v>8</v>
      </c>
      <c r="AZ31" s="10">
        <v>3</v>
      </c>
      <c r="BA31" s="10">
        <v>3</v>
      </c>
      <c r="BB31" s="8">
        <v>4.63</v>
      </c>
      <c r="BC31" s="8">
        <v>3.66</v>
      </c>
      <c r="BD31" s="16">
        <v>1.32</v>
      </c>
      <c r="BE31" s="16">
        <v>1.35</v>
      </c>
      <c r="BF31" s="8">
        <v>0.51</v>
      </c>
      <c r="BG31" s="8">
        <v>0.46</v>
      </c>
      <c r="BH31" s="66">
        <v>0.2</v>
      </c>
      <c r="BI31" s="8">
        <v>0.15</v>
      </c>
      <c r="BJ31" s="10">
        <v>211</v>
      </c>
      <c r="BK31" s="10">
        <v>232</v>
      </c>
      <c r="BL31" s="8">
        <v>0.24</v>
      </c>
      <c r="BM31" s="8">
        <v>11.8</v>
      </c>
      <c r="BN31" s="8">
        <v>0.24</v>
      </c>
      <c r="BO31" s="8">
        <v>0.27</v>
      </c>
      <c r="BP31" s="10">
        <v>32</v>
      </c>
      <c r="BQ31" s="14">
        <v>44</v>
      </c>
      <c r="BR31" s="10">
        <v>31</v>
      </c>
      <c r="BS31" s="7">
        <v>36</v>
      </c>
      <c r="BT31" s="8">
        <v>0.1</v>
      </c>
      <c r="BU31" s="8">
        <v>0.26</v>
      </c>
      <c r="BV31" s="10">
        <v>36</v>
      </c>
      <c r="BW31" s="10">
        <v>33</v>
      </c>
      <c r="BX31" s="8">
        <v>1.1399999999999999</v>
      </c>
      <c r="BY31" s="8">
        <v>1.36</v>
      </c>
      <c r="BZ31" s="10">
        <v>26037948</v>
      </c>
      <c r="CA31" s="4"/>
      <c r="CB31" s="70" t="s">
        <v>118</v>
      </c>
      <c r="CC31" s="12"/>
      <c r="CD31" s="17">
        <v>289</v>
      </c>
      <c r="CE31" s="11"/>
      <c r="CF31" s="21" t="e">
        <f t="shared" si="3"/>
        <v>#VALUE!</v>
      </c>
      <c r="CG31" s="11" t="e">
        <f t="shared" si="3"/>
        <v>#DIV/0!</v>
      </c>
      <c r="CH31" s="18"/>
      <c r="CJ31" s="55" t="s">
        <v>101</v>
      </c>
    </row>
    <row r="32" spans="1:88" x14ac:dyDescent="0.2">
      <c r="A32" s="1" t="s">
        <v>211</v>
      </c>
      <c r="B32" s="1" t="s">
        <v>212</v>
      </c>
      <c r="C32" s="1">
        <v>20221082</v>
      </c>
      <c r="D32" s="2">
        <v>380260042317315</v>
      </c>
      <c r="E32" s="67">
        <v>0</v>
      </c>
      <c r="F32" s="1">
        <v>29.3</v>
      </c>
      <c r="G32" s="1">
        <v>30.5</v>
      </c>
      <c r="H32" s="1">
        <v>3</v>
      </c>
      <c r="I32" s="1">
        <v>3</v>
      </c>
      <c r="J32" s="56">
        <f>DogSample3[[#This Row],[Weight pre (kg)]]*4.5/50</f>
        <v>2.637</v>
      </c>
      <c r="K32" s="1"/>
      <c r="L32" s="55" t="s">
        <v>213</v>
      </c>
      <c r="M32" s="3">
        <v>43273</v>
      </c>
      <c r="N32" s="3">
        <v>44734</v>
      </c>
      <c r="O32" s="55">
        <f t="shared" si="0"/>
        <v>1461</v>
      </c>
      <c r="P32" s="55" t="s">
        <v>104</v>
      </c>
      <c r="Q32" s="55" t="s">
        <v>105</v>
      </c>
      <c r="R32" s="55" t="s">
        <v>95</v>
      </c>
      <c r="S32" s="4">
        <v>46109</v>
      </c>
      <c r="T32">
        <f t="shared" si="1"/>
        <v>1375</v>
      </c>
      <c r="U32" s="55" t="s">
        <v>96</v>
      </c>
      <c r="V32" s="55" t="s">
        <v>144</v>
      </c>
      <c r="W32" s="55" t="s">
        <v>214</v>
      </c>
      <c r="X32" s="3">
        <v>45456</v>
      </c>
      <c r="Y32" s="1" t="s">
        <v>99</v>
      </c>
      <c r="Z32" s="4">
        <v>46109</v>
      </c>
      <c r="AA32" s="3">
        <f>DogSample3[[#This Row],[Behavioural recording start]]+5</f>
        <v>46114</v>
      </c>
      <c r="AB32" s="19">
        <v>10.4</v>
      </c>
      <c r="AC32" s="4">
        <f>DogSample3[[#This Row],[1st Blood sample]]+1</f>
        <v>46115</v>
      </c>
      <c r="AD32" s="4">
        <f>DogSample3[[#This Row],[Treatment start]]+40</f>
        <v>46155</v>
      </c>
      <c r="AE32" s="5">
        <f>DogSample3[[#This Row],[2nd Behavioural recording start]]+4</f>
        <v>46159</v>
      </c>
      <c r="AF32" s="4">
        <f>DogSample3[[#This Row],[2nd Behavioural recording start]]+5</f>
        <v>46160</v>
      </c>
      <c r="AG32" s="8">
        <v>10.24</v>
      </c>
      <c r="AH32" s="8">
        <v>7.42</v>
      </c>
      <c r="AI32" s="8">
        <v>6.82</v>
      </c>
      <c r="AJ32" s="8">
        <v>17.399999999999999</v>
      </c>
      <c r="AK32" s="8">
        <v>16.100000000000001</v>
      </c>
      <c r="AL32" s="8">
        <v>50.8</v>
      </c>
      <c r="AM32" s="8">
        <v>46.9</v>
      </c>
      <c r="AN32" s="66">
        <v>34.299999999999997</v>
      </c>
      <c r="AO32" s="8">
        <v>34.299999999999997</v>
      </c>
      <c r="AP32" s="8">
        <v>13.2</v>
      </c>
      <c r="AQ32" s="8">
        <v>12.3</v>
      </c>
      <c r="AR32" s="8">
        <v>5.09</v>
      </c>
      <c r="AS32" s="8">
        <v>5.63</v>
      </c>
      <c r="AT32" s="10">
        <v>60</v>
      </c>
      <c r="AU32" s="10">
        <v>59</v>
      </c>
      <c r="AV32" s="14">
        <v>28</v>
      </c>
      <c r="AW32" s="14">
        <v>27</v>
      </c>
      <c r="AX32" s="10">
        <v>5</v>
      </c>
      <c r="AY32" s="10">
        <v>6</v>
      </c>
      <c r="AZ32" s="10">
        <v>8</v>
      </c>
      <c r="BA32" s="14">
        <v>9</v>
      </c>
      <c r="BB32" s="8">
        <v>3.05</v>
      </c>
      <c r="BC32" s="8">
        <v>3.32</v>
      </c>
      <c r="BD32" s="8">
        <v>1.43</v>
      </c>
      <c r="BE32" s="8">
        <v>1.54</v>
      </c>
      <c r="BF32" s="8">
        <v>0.27</v>
      </c>
      <c r="BG32" s="8">
        <v>0.35</v>
      </c>
      <c r="BH32" s="8">
        <v>0.39</v>
      </c>
      <c r="BI32" s="8">
        <v>0.48</v>
      </c>
      <c r="BJ32" s="10">
        <v>178</v>
      </c>
      <c r="BK32" s="10">
        <v>176</v>
      </c>
      <c r="BL32" s="9">
        <v>10.8</v>
      </c>
      <c r="BM32" s="8">
        <v>10</v>
      </c>
      <c r="BN32" s="8">
        <v>0.19</v>
      </c>
      <c r="BO32" s="8">
        <v>0.18</v>
      </c>
      <c r="BP32" s="14">
        <v>42</v>
      </c>
      <c r="BQ32" s="14">
        <v>100</v>
      </c>
      <c r="BR32" s="10">
        <v>29</v>
      </c>
      <c r="BS32" s="10">
        <v>61</v>
      </c>
      <c r="BT32" s="8">
        <v>0.25</v>
      </c>
      <c r="BU32" s="8">
        <v>0.21</v>
      </c>
      <c r="BV32" s="10">
        <v>27</v>
      </c>
      <c r="BW32" s="10">
        <v>19</v>
      </c>
      <c r="BX32" s="8">
        <v>0.92</v>
      </c>
      <c r="BY32" s="8">
        <v>0.94</v>
      </c>
      <c r="BZ32" s="10">
        <v>26031317</v>
      </c>
      <c r="CA32" s="68">
        <v>26045260</v>
      </c>
      <c r="CB32" s="70">
        <v>11</v>
      </c>
      <c r="CC32" s="12"/>
      <c r="CD32" s="17">
        <v>306.2</v>
      </c>
      <c r="CE32" s="11"/>
      <c r="CF32" s="21">
        <f t="shared" si="3"/>
        <v>3.5924232527759635E-2</v>
      </c>
      <c r="CG32" s="11" t="e">
        <f t="shared" si="3"/>
        <v>#DIV/0!</v>
      </c>
      <c r="CH32" s="18"/>
      <c r="CJ32" s="55" t="s">
        <v>101</v>
      </c>
    </row>
    <row r="33" spans="1:90" x14ac:dyDescent="0.2">
      <c r="A33" s="1" t="s">
        <v>215</v>
      </c>
      <c r="B33" s="1" t="s">
        <v>216</v>
      </c>
      <c r="C33" s="1">
        <v>20191142</v>
      </c>
      <c r="D33" s="2">
        <v>380260043680650</v>
      </c>
      <c r="E33" s="67">
        <v>0</v>
      </c>
      <c r="F33" s="1">
        <v>25.2</v>
      </c>
      <c r="G33" s="1">
        <v>24.9</v>
      </c>
      <c r="H33" s="1">
        <v>3</v>
      </c>
      <c r="I33" s="1">
        <v>3</v>
      </c>
      <c r="J33" s="56">
        <f>DogSample3[[#This Row],[Weight pre (kg)]]*4.5/50</f>
        <v>2.2679999999999998</v>
      </c>
      <c r="K33" s="1"/>
      <c r="L33" s="55"/>
      <c r="M33" s="3">
        <v>43070</v>
      </c>
      <c r="N33" s="3">
        <v>43618</v>
      </c>
      <c r="O33" s="55">
        <f t="shared" si="0"/>
        <v>548</v>
      </c>
      <c r="P33" s="55" t="s">
        <v>104</v>
      </c>
      <c r="Q33" s="55" t="s">
        <v>105</v>
      </c>
      <c r="R33" s="55" t="s">
        <v>106</v>
      </c>
      <c r="S33" s="72">
        <v>46133</v>
      </c>
      <c r="T33">
        <f t="shared" si="1"/>
        <v>2515</v>
      </c>
      <c r="U33" s="55" t="s">
        <v>96</v>
      </c>
      <c r="V33" s="55" t="s">
        <v>137</v>
      </c>
      <c r="W33" s="55" t="s">
        <v>217</v>
      </c>
      <c r="X33" s="3">
        <v>43766</v>
      </c>
      <c r="Y33" s="1" t="s">
        <v>139</v>
      </c>
      <c r="Z33" s="72">
        <v>46133</v>
      </c>
      <c r="AA33" s="3">
        <f>DogSample3[[#This Row],[Behavioural recording start]]+6</f>
        <v>46139</v>
      </c>
      <c r="AB33" s="19">
        <v>10</v>
      </c>
      <c r="AC33" s="4">
        <f>DogSample3[[#This Row],[1st Blood sample]]+1</f>
        <v>46140</v>
      </c>
      <c r="AD33" s="4">
        <f>DogSample3[[#This Row],[Treatment start]]+40</f>
        <v>46180</v>
      </c>
      <c r="AE33" s="5">
        <f>DogSample3[[#This Row],[2nd Behavioural recording start]]+5</f>
        <v>46185</v>
      </c>
      <c r="AF33" s="4">
        <f>DogSample3[[#This Row],[2nd Behavioural recording start]]+5</f>
        <v>46185</v>
      </c>
      <c r="AG33" s="8">
        <v>9.2200000000000006</v>
      </c>
      <c r="AH33" s="8">
        <v>7.56</v>
      </c>
      <c r="AI33" s="8">
        <v>6.97</v>
      </c>
      <c r="AJ33" s="13">
        <v>18.71</v>
      </c>
      <c r="AK33" s="8">
        <v>16.600000000000001</v>
      </c>
      <c r="AL33" s="8">
        <v>52.2</v>
      </c>
      <c r="AM33" s="8">
        <v>46.2</v>
      </c>
      <c r="AN33" s="8">
        <v>35.799999999999997</v>
      </c>
      <c r="AO33" s="8">
        <v>35.9</v>
      </c>
      <c r="AP33" s="8">
        <v>14.2</v>
      </c>
      <c r="AQ33" s="8">
        <v>13.4</v>
      </c>
      <c r="AR33" s="8">
        <v>8.9499999999999993</v>
      </c>
      <c r="AS33" s="8">
        <v>6.92</v>
      </c>
      <c r="AT33" s="10">
        <v>56</v>
      </c>
      <c r="AU33" s="10">
        <v>56</v>
      </c>
      <c r="AV33" s="14">
        <v>35</v>
      </c>
      <c r="AW33" s="14">
        <v>35</v>
      </c>
      <c r="AX33" s="10">
        <v>9</v>
      </c>
      <c r="AY33" s="10">
        <v>7</v>
      </c>
      <c r="AZ33" s="10">
        <v>2</v>
      </c>
      <c r="BA33" s="10">
        <v>2</v>
      </c>
      <c r="BB33" s="8">
        <v>5.01</v>
      </c>
      <c r="BC33" s="8">
        <v>3.88</v>
      </c>
      <c r="BD33" s="8">
        <v>3.16</v>
      </c>
      <c r="BE33" s="8">
        <v>2.44</v>
      </c>
      <c r="BF33" s="8">
        <v>0.79</v>
      </c>
      <c r="BG33" s="8">
        <v>0.5</v>
      </c>
      <c r="BH33" s="8">
        <v>0.16</v>
      </c>
      <c r="BI33" s="8">
        <v>0.17</v>
      </c>
      <c r="BJ33" s="10">
        <v>298</v>
      </c>
      <c r="BK33" s="10">
        <v>278</v>
      </c>
      <c r="BL33" s="9">
        <v>9.4</v>
      </c>
      <c r="BM33" s="8">
        <v>10.1</v>
      </c>
      <c r="BN33" s="8">
        <v>0.28000000000000003</v>
      </c>
      <c r="BO33" s="8">
        <v>0.28000000000000003</v>
      </c>
      <c r="BP33" s="14">
        <v>49</v>
      </c>
      <c r="BQ33" s="14">
        <v>59</v>
      </c>
      <c r="BR33" s="10">
        <v>47</v>
      </c>
      <c r="BS33" s="10">
        <v>62</v>
      </c>
      <c r="BT33" s="8">
        <v>0.09</v>
      </c>
      <c r="BU33" s="8">
        <v>0.2</v>
      </c>
      <c r="BV33" s="10">
        <v>27</v>
      </c>
      <c r="BW33" s="10">
        <v>22</v>
      </c>
      <c r="BX33" s="8">
        <v>0.82</v>
      </c>
      <c r="BY33" s="8">
        <v>1.02</v>
      </c>
      <c r="BZ33" s="7">
        <v>26038240</v>
      </c>
      <c r="CA33" s="4"/>
      <c r="CB33" s="12">
        <v>41</v>
      </c>
      <c r="CC33" s="12"/>
      <c r="CD33" s="17">
        <v>346.1</v>
      </c>
      <c r="CE33" s="11"/>
      <c r="CF33" s="21">
        <f t="shared" si="3"/>
        <v>0.11846287200231147</v>
      </c>
      <c r="CG33" s="11" t="e">
        <f t="shared" si="3"/>
        <v>#DIV/0!</v>
      </c>
      <c r="CH33" s="18"/>
      <c r="CJ33" s="55" t="s">
        <v>218</v>
      </c>
    </row>
    <row r="34" spans="1:90" x14ac:dyDescent="0.2">
      <c r="A34" s="1" t="s">
        <v>219</v>
      </c>
      <c r="B34" s="2" t="s">
        <v>220</v>
      </c>
      <c r="C34" s="1">
        <v>20242138</v>
      </c>
      <c r="D34" s="2">
        <v>380260102150845</v>
      </c>
      <c r="E34" s="2">
        <v>1</v>
      </c>
      <c r="F34" s="1">
        <v>40.5</v>
      </c>
      <c r="G34" s="64">
        <v>49</v>
      </c>
      <c r="H34" s="1">
        <v>3</v>
      </c>
      <c r="I34" s="1">
        <v>4</v>
      </c>
      <c r="J34" s="56">
        <f>DogSample3[[#This Row],[Weight pre (kg)]]*4.5/50</f>
        <v>3.645</v>
      </c>
      <c r="K34" s="55" t="s">
        <v>92</v>
      </c>
      <c r="L34" s="1"/>
      <c r="M34" s="3">
        <v>43818</v>
      </c>
      <c r="N34" s="3">
        <v>45644</v>
      </c>
      <c r="O34" s="55">
        <f t="shared" si="0"/>
        <v>1826</v>
      </c>
      <c r="P34" s="1" t="s">
        <v>104</v>
      </c>
      <c r="Q34" s="1" t="s">
        <v>94</v>
      </c>
      <c r="R34" s="1" t="s">
        <v>95</v>
      </c>
      <c r="S34" s="4">
        <v>46058</v>
      </c>
      <c r="T34">
        <f t="shared" si="1"/>
        <v>414</v>
      </c>
      <c r="U34" s="1" t="s">
        <v>96</v>
      </c>
      <c r="V34" s="1" t="s">
        <v>221</v>
      </c>
      <c r="W34" s="1"/>
      <c r="X34" s="87" t="s">
        <v>222</v>
      </c>
      <c r="Y34" s="55" t="s">
        <v>139</v>
      </c>
      <c r="Z34" s="4">
        <v>46058</v>
      </c>
      <c r="AA34" s="61">
        <f>DogSample3[[#This Row],[Behavioural recording start]]+5</f>
        <v>46063</v>
      </c>
      <c r="AB34" s="65">
        <v>10.15</v>
      </c>
      <c r="AC34" s="61">
        <f>DogSample3[[#This Row],[1st Blood sample]]+1</f>
        <v>46064</v>
      </c>
      <c r="AD34" s="61">
        <f>DogSample3[[#This Row],[Treatment start]]+40</f>
        <v>46104</v>
      </c>
      <c r="AE34" s="5">
        <f>DogSample3[[#This Row],[2nd Behavioural recording start]]+4</f>
        <v>46108</v>
      </c>
      <c r="AF34" s="61">
        <f>DogSample3[[#This Row],[2nd Behavioural recording start]]+7</f>
        <v>46111</v>
      </c>
      <c r="AG34" s="66">
        <v>9.4600000000000009</v>
      </c>
      <c r="AH34" s="66">
        <v>8.0500000000000007</v>
      </c>
      <c r="AI34" s="66">
        <v>7.85</v>
      </c>
      <c r="AJ34" s="66">
        <v>17.7</v>
      </c>
      <c r="AK34" s="13">
        <v>18.809999999999999</v>
      </c>
      <c r="AL34" s="66">
        <v>52.5</v>
      </c>
      <c r="AM34" s="66">
        <v>52.1</v>
      </c>
      <c r="AN34" s="66">
        <v>33.700000000000003</v>
      </c>
      <c r="AO34" s="66">
        <v>36.1</v>
      </c>
      <c r="AP34" s="66">
        <v>10.8</v>
      </c>
      <c r="AQ34" s="66">
        <v>14.2</v>
      </c>
      <c r="AR34" s="66">
        <v>9.7100000000000009</v>
      </c>
      <c r="AS34" s="66">
        <v>9.85</v>
      </c>
      <c r="AT34" s="67">
        <v>56</v>
      </c>
      <c r="AU34" s="67">
        <v>55</v>
      </c>
      <c r="AV34" s="14">
        <v>36</v>
      </c>
      <c r="AW34" s="14">
        <v>37</v>
      </c>
      <c r="AX34" s="67">
        <v>4</v>
      </c>
      <c r="AY34" s="67">
        <v>5</v>
      </c>
      <c r="AZ34" s="67">
        <v>4</v>
      </c>
      <c r="BA34" s="67">
        <v>4</v>
      </c>
      <c r="BB34" s="66">
        <v>5.44</v>
      </c>
      <c r="BC34" s="66">
        <v>5.42</v>
      </c>
      <c r="BD34" s="66">
        <v>3.5</v>
      </c>
      <c r="BE34" s="13">
        <v>3.65</v>
      </c>
      <c r="BF34" s="66">
        <v>0.39</v>
      </c>
      <c r="BG34" s="66">
        <v>0.5</v>
      </c>
      <c r="BH34" s="66">
        <v>0.39</v>
      </c>
      <c r="BI34" s="66">
        <v>0.37</v>
      </c>
      <c r="BJ34" s="67">
        <v>238</v>
      </c>
      <c r="BK34" s="67">
        <v>227</v>
      </c>
      <c r="BL34" s="88">
        <v>9.1</v>
      </c>
      <c r="BM34" s="66">
        <v>9.5</v>
      </c>
      <c r="BN34" s="66">
        <v>0.22</v>
      </c>
      <c r="BO34" s="66">
        <v>0.22</v>
      </c>
      <c r="BP34" s="67">
        <v>27</v>
      </c>
      <c r="BQ34" s="67">
        <v>26</v>
      </c>
      <c r="BR34" s="67">
        <v>30</v>
      </c>
      <c r="BS34" s="67">
        <v>30</v>
      </c>
      <c r="BT34" s="66">
        <v>0.09</v>
      </c>
      <c r="BU34" s="66">
        <v>0.12</v>
      </c>
      <c r="BV34" s="67">
        <v>37</v>
      </c>
      <c r="BW34" s="67">
        <v>33</v>
      </c>
      <c r="BX34" s="66">
        <v>1.2</v>
      </c>
      <c r="BY34" s="66">
        <v>1.17</v>
      </c>
      <c r="BZ34" s="10">
        <v>26014900</v>
      </c>
      <c r="CA34" s="67">
        <v>26030059</v>
      </c>
      <c r="CB34" s="12">
        <v>38</v>
      </c>
      <c r="CC34" s="12">
        <v>41</v>
      </c>
      <c r="CD34" s="17">
        <v>339.6</v>
      </c>
      <c r="CE34" s="17">
        <v>327.39999999999998</v>
      </c>
      <c r="CF34" s="21">
        <f t="shared" si="3"/>
        <v>0.11189634864546524</v>
      </c>
      <c r="CG34" s="11">
        <f t="shared" si="3"/>
        <v>0.12522907758094076</v>
      </c>
      <c r="CH34" s="18"/>
      <c r="CJ34" s="55" t="s">
        <v>101</v>
      </c>
    </row>
    <row r="35" spans="1:90" x14ac:dyDescent="0.2">
      <c r="A35" s="1" t="s">
        <v>223</v>
      </c>
      <c r="B35" s="55" t="s">
        <v>224</v>
      </c>
      <c r="C35" s="1">
        <v>20192224</v>
      </c>
      <c r="D35" s="2">
        <v>380260043873358</v>
      </c>
      <c r="E35" s="67">
        <v>1</v>
      </c>
      <c r="F35" s="55">
        <v>30</v>
      </c>
      <c r="G35" s="55">
        <v>29.6</v>
      </c>
      <c r="H35" s="55">
        <v>3</v>
      </c>
      <c r="I35" s="55">
        <v>3</v>
      </c>
      <c r="J35" s="56">
        <f>DogSample3[[#This Row],[Weight pre (kg)]]*4.5/50</f>
        <v>2.7</v>
      </c>
      <c r="K35" s="55" t="s">
        <v>92</v>
      </c>
      <c r="L35" s="1"/>
      <c r="M35" s="3">
        <v>43012</v>
      </c>
      <c r="N35" s="3">
        <v>43742</v>
      </c>
      <c r="O35" s="55">
        <f t="shared" si="0"/>
        <v>730</v>
      </c>
      <c r="P35" s="1" t="s">
        <v>104</v>
      </c>
      <c r="Q35" s="1" t="s">
        <v>94</v>
      </c>
      <c r="R35" s="1" t="s">
        <v>95</v>
      </c>
      <c r="S35" s="4">
        <v>46000</v>
      </c>
      <c r="T35" s="55">
        <f t="shared" si="1"/>
        <v>2258</v>
      </c>
      <c r="U35" s="55" t="s">
        <v>96</v>
      </c>
      <c r="V35" s="1" t="s">
        <v>137</v>
      </c>
      <c r="W35" s="1"/>
      <c r="X35" s="3">
        <v>43838</v>
      </c>
      <c r="Y35" s="1" t="s">
        <v>139</v>
      </c>
      <c r="Z35" s="4">
        <v>46000</v>
      </c>
      <c r="AA35" s="61">
        <f>DogSample3[[#This Row],[Behavioural recording start]]+5</f>
        <v>46005</v>
      </c>
      <c r="AB35" s="19">
        <v>9.4499999999999993</v>
      </c>
      <c r="AC35" s="4">
        <f>DogSample3[[#This Row],[1st Blood sample]]+1</f>
        <v>46006</v>
      </c>
      <c r="AD35" s="4">
        <f>DogSample3[[#This Row],[Treatment start]]+40</f>
        <v>46046</v>
      </c>
      <c r="AE35" s="5">
        <f>DogSample3[[#This Row],[2nd Behavioural recording start]]+4</f>
        <v>46050</v>
      </c>
      <c r="AF35" s="4">
        <v>46006</v>
      </c>
      <c r="AG35" s="8">
        <v>10.09</v>
      </c>
      <c r="AH35" s="8">
        <v>7.67</v>
      </c>
      <c r="AI35" s="8">
        <v>7.34</v>
      </c>
      <c r="AJ35" s="8">
        <v>15.4</v>
      </c>
      <c r="AK35" s="8">
        <v>16.100000000000001</v>
      </c>
      <c r="AL35" s="8">
        <v>47.3</v>
      </c>
      <c r="AM35" s="8">
        <v>46.4</v>
      </c>
      <c r="AN35" s="8">
        <v>32.6</v>
      </c>
      <c r="AO35" s="8">
        <v>34.700000000000003</v>
      </c>
      <c r="AP35" s="8">
        <v>11.6</v>
      </c>
      <c r="AQ35" s="8">
        <v>11.6</v>
      </c>
      <c r="AR35" s="8">
        <v>7.93</v>
      </c>
      <c r="AS35" s="8">
        <v>12.1</v>
      </c>
      <c r="AT35" s="10">
        <v>63</v>
      </c>
      <c r="AU35" s="10">
        <v>61</v>
      </c>
      <c r="AV35" s="10">
        <v>24</v>
      </c>
      <c r="AW35" s="14">
        <v>26</v>
      </c>
      <c r="AX35" s="10">
        <v>6</v>
      </c>
      <c r="AY35" s="10">
        <v>4</v>
      </c>
      <c r="AZ35" s="10">
        <v>7</v>
      </c>
      <c r="BA35" s="14">
        <v>9</v>
      </c>
      <c r="BB35" s="8">
        <v>5</v>
      </c>
      <c r="BC35" s="8">
        <v>7.38</v>
      </c>
      <c r="BD35" s="8">
        <v>1.9</v>
      </c>
      <c r="BE35" s="8">
        <v>3.15</v>
      </c>
      <c r="BF35" s="8">
        <v>0.48</v>
      </c>
      <c r="BG35" s="8">
        <v>0.48</v>
      </c>
      <c r="BH35" s="8">
        <v>0.56000000000000005</v>
      </c>
      <c r="BI35" s="13">
        <v>1.0900000000000001</v>
      </c>
      <c r="BJ35" s="10">
        <v>305</v>
      </c>
      <c r="BK35" s="10">
        <v>281</v>
      </c>
      <c r="BL35" s="9">
        <v>9.8000000000000007</v>
      </c>
      <c r="BM35" s="9">
        <v>11.1</v>
      </c>
      <c r="BN35" s="8">
        <v>0.3</v>
      </c>
      <c r="BO35" s="8">
        <v>0.31</v>
      </c>
      <c r="BP35" s="10">
        <v>33</v>
      </c>
      <c r="BQ35" s="14">
        <v>44</v>
      </c>
      <c r="BR35" s="10">
        <v>32</v>
      </c>
      <c r="BS35" s="10">
        <v>30</v>
      </c>
      <c r="BT35" s="8">
        <v>0.09</v>
      </c>
      <c r="BU35" s="8">
        <v>0.14000000000000001</v>
      </c>
      <c r="BV35" s="10">
        <v>39</v>
      </c>
      <c r="BW35" s="10">
        <v>40</v>
      </c>
      <c r="BX35" s="8">
        <v>1.0900000000000001</v>
      </c>
      <c r="BY35" s="8">
        <v>1.25</v>
      </c>
      <c r="BZ35" s="10">
        <v>25092144</v>
      </c>
      <c r="CA35" s="71">
        <v>25110747</v>
      </c>
      <c r="CB35" s="12">
        <v>62</v>
      </c>
      <c r="CC35" s="12"/>
      <c r="CD35" s="17">
        <v>323.3</v>
      </c>
      <c r="CE35" s="17">
        <v>215.8</v>
      </c>
      <c r="CF35" s="21">
        <f t="shared" si="3"/>
        <v>0.19177234766470769</v>
      </c>
      <c r="CG35" s="11">
        <f t="shared" si="3"/>
        <v>0</v>
      </c>
      <c r="CH35" s="63" t="s">
        <v>100</v>
      </c>
      <c r="CI35" s="63" t="s">
        <v>100</v>
      </c>
      <c r="CJ35" s="55" t="s">
        <v>101</v>
      </c>
      <c r="CK35" s="55"/>
      <c r="CL35" s="55"/>
    </row>
    <row r="36" spans="1:90" x14ac:dyDescent="0.2">
      <c r="A36" s="6" t="s">
        <v>225</v>
      </c>
      <c r="B36" s="6" t="s">
        <v>226</v>
      </c>
      <c r="C36" s="6">
        <v>20250637</v>
      </c>
      <c r="D36" s="7">
        <v>380260101228158</v>
      </c>
      <c r="E36" s="7">
        <v>0</v>
      </c>
      <c r="F36" s="6">
        <v>25</v>
      </c>
      <c r="G36" s="6">
        <v>23.9</v>
      </c>
      <c r="H36" s="6">
        <v>3</v>
      </c>
      <c r="I36" s="6">
        <v>3</v>
      </c>
      <c r="J36" s="6">
        <f>DogSample3[[#This Row],[Weight pre (kg)]]*4.5/50</f>
        <v>2.25</v>
      </c>
      <c r="K36" s="6" t="s">
        <v>92</v>
      </c>
      <c r="L36" s="6"/>
      <c r="M36" s="72">
        <v>43593</v>
      </c>
      <c r="N36" s="72">
        <v>45785</v>
      </c>
      <c r="O36" s="6">
        <f t="shared" si="0"/>
        <v>2192</v>
      </c>
      <c r="P36" s="6" t="s">
        <v>104</v>
      </c>
      <c r="Q36" s="6" t="s">
        <v>94</v>
      </c>
      <c r="R36" s="6" t="s">
        <v>95</v>
      </c>
      <c r="S36" s="4">
        <v>46006</v>
      </c>
      <c r="T36">
        <f t="shared" si="1"/>
        <v>221</v>
      </c>
      <c r="U36" s="6" t="s">
        <v>96</v>
      </c>
      <c r="V36" s="6" t="s">
        <v>107</v>
      </c>
      <c r="W36" s="6"/>
      <c r="X36" s="72">
        <v>45861</v>
      </c>
      <c r="Y36" s="6" t="s">
        <v>139</v>
      </c>
      <c r="Z36" s="4">
        <v>46006</v>
      </c>
      <c r="AA36" s="3">
        <f>DogSample3[[#This Row],[Behavioural recording start]]+5</f>
        <v>46011</v>
      </c>
      <c r="AB36" s="73">
        <v>9.3000000000000007</v>
      </c>
      <c r="AC36" s="72">
        <f>DogSample3[[#This Row],[1st Blood sample]]+1</f>
        <v>46012</v>
      </c>
      <c r="AD36" s="72">
        <f>DogSample3[[#This Row],[Treatment start]]+40</f>
        <v>46052</v>
      </c>
      <c r="AE36" s="5">
        <f>DogSample3[[#This Row],[2nd Behavioural recording start]]+4</f>
        <v>46056</v>
      </c>
      <c r="AF36" s="72">
        <v>46013</v>
      </c>
      <c r="AG36" s="11">
        <v>9.3000000000000007</v>
      </c>
      <c r="AH36" s="11">
        <v>7.81</v>
      </c>
      <c r="AI36" s="11">
        <v>7.77</v>
      </c>
      <c r="AJ36" s="11">
        <v>17.2</v>
      </c>
      <c r="AK36" s="11">
        <v>16.899999999999999</v>
      </c>
      <c r="AL36" s="11">
        <v>49.9</v>
      </c>
      <c r="AM36" s="11">
        <v>47.8</v>
      </c>
      <c r="AN36" s="73">
        <v>34.5</v>
      </c>
      <c r="AO36" s="11">
        <v>35.4</v>
      </c>
      <c r="AP36" s="11">
        <v>12.4</v>
      </c>
      <c r="AQ36" s="11">
        <v>11.3</v>
      </c>
      <c r="AR36" s="11">
        <v>6.12</v>
      </c>
      <c r="AS36" s="11">
        <v>8.5299999999999994</v>
      </c>
      <c r="AT36" s="7">
        <v>59</v>
      </c>
      <c r="AU36" s="7">
        <v>65</v>
      </c>
      <c r="AV36" s="14">
        <v>31</v>
      </c>
      <c r="AW36" s="7">
        <v>24</v>
      </c>
      <c r="AX36" s="7">
        <v>4</v>
      </c>
      <c r="AY36" s="7">
        <v>4</v>
      </c>
      <c r="AZ36" s="7">
        <v>6</v>
      </c>
      <c r="BA36" s="7">
        <v>6</v>
      </c>
      <c r="BB36" s="11">
        <v>3.61</v>
      </c>
      <c r="BC36" s="11">
        <v>5.58</v>
      </c>
      <c r="BD36" s="11">
        <v>1.9</v>
      </c>
      <c r="BE36" s="11">
        <v>2.08</v>
      </c>
      <c r="BF36" s="11">
        <v>0.24</v>
      </c>
      <c r="BG36" s="11">
        <v>0.37</v>
      </c>
      <c r="BH36" s="11">
        <v>0.37</v>
      </c>
      <c r="BI36" s="11">
        <v>0.5</v>
      </c>
      <c r="BJ36" s="7">
        <v>226</v>
      </c>
      <c r="BK36" s="7">
        <v>203</v>
      </c>
      <c r="BL36" s="17">
        <v>12.1</v>
      </c>
      <c r="BM36" s="17">
        <v>10.5</v>
      </c>
      <c r="BN36" s="11">
        <v>0.27</v>
      </c>
      <c r="BO36" s="11">
        <v>0.21</v>
      </c>
      <c r="BP36" s="14">
        <v>44</v>
      </c>
      <c r="BQ36" s="14">
        <v>44</v>
      </c>
      <c r="BR36" s="7">
        <v>36</v>
      </c>
      <c r="BS36" s="7">
        <v>38</v>
      </c>
      <c r="BT36" s="11">
        <v>0.16</v>
      </c>
      <c r="BU36" s="11">
        <v>0.11</v>
      </c>
      <c r="BV36" s="7">
        <v>35</v>
      </c>
      <c r="BW36" s="7">
        <v>28</v>
      </c>
      <c r="BX36" s="11">
        <v>1.1000000000000001</v>
      </c>
      <c r="BY36" s="11">
        <v>0.95</v>
      </c>
      <c r="BZ36" s="10">
        <v>25094125</v>
      </c>
      <c r="CA36" s="10">
        <v>25113915</v>
      </c>
      <c r="CB36" s="12">
        <v>53</v>
      </c>
      <c r="CC36" s="12">
        <v>64</v>
      </c>
      <c r="CD36" s="17">
        <v>359.1</v>
      </c>
      <c r="CE36" s="17">
        <v>314.60000000000002</v>
      </c>
      <c r="CF36" s="21">
        <f t="shared" si="3"/>
        <v>0.14759120022277916</v>
      </c>
      <c r="CG36" s="11">
        <f t="shared" si="3"/>
        <v>0.20343293070565796</v>
      </c>
      <c r="CH36" s="74" t="s">
        <v>100</v>
      </c>
      <c r="CI36" s="74">
        <v>0.22</v>
      </c>
      <c r="CJ36" s="55" t="s">
        <v>101</v>
      </c>
      <c r="CK36" s="6"/>
      <c r="CL36" s="6"/>
    </row>
    <row r="37" spans="1:90" x14ac:dyDescent="0.2">
      <c r="A37" s="1" t="s">
        <v>227</v>
      </c>
      <c r="B37" s="2" t="s">
        <v>228</v>
      </c>
      <c r="C37" s="1">
        <v>20191991</v>
      </c>
      <c r="D37" s="2">
        <v>380260043869543</v>
      </c>
      <c r="E37" s="2">
        <v>1</v>
      </c>
      <c r="F37" s="1">
        <v>29</v>
      </c>
      <c r="G37" s="1">
        <v>28</v>
      </c>
      <c r="H37" s="1">
        <v>3</v>
      </c>
      <c r="I37" s="1">
        <v>3</v>
      </c>
      <c r="J37" s="1">
        <f>DogSample3[[#This Row],[Weight pre (kg)]]*4.5/50</f>
        <v>2.61</v>
      </c>
      <c r="K37" s="1" t="s">
        <v>136</v>
      </c>
      <c r="L37" s="1"/>
      <c r="M37" s="3">
        <v>43347</v>
      </c>
      <c r="N37" s="3">
        <v>43712</v>
      </c>
      <c r="O37" s="55">
        <f t="shared" si="0"/>
        <v>365</v>
      </c>
      <c r="P37" s="1" t="s">
        <v>93</v>
      </c>
      <c r="Q37" s="1" t="s">
        <v>112</v>
      </c>
      <c r="R37" s="1" t="s">
        <v>229</v>
      </c>
      <c r="S37" s="4">
        <v>46029</v>
      </c>
      <c r="T37" s="55">
        <f t="shared" si="1"/>
        <v>2317</v>
      </c>
      <c r="U37" s="1" t="s">
        <v>96</v>
      </c>
      <c r="V37" s="1" t="s">
        <v>137</v>
      </c>
      <c r="W37" s="1"/>
      <c r="X37" s="3">
        <v>43819</v>
      </c>
      <c r="Y37" s="55"/>
      <c r="Z37" s="4">
        <v>46029</v>
      </c>
      <c r="AA37" s="61">
        <f>DogSample3[[#This Row],[Behavioural recording start]]+5</f>
        <v>46034</v>
      </c>
      <c r="AB37" s="65">
        <v>9.48</v>
      </c>
      <c r="AC37" s="61">
        <f>DogSample3[[#This Row],[1st Blood sample]]+1</f>
        <v>46035</v>
      </c>
      <c r="AD37" s="61">
        <f>DogSample3[[#This Row],[Treatment start]]+40</f>
        <v>46075</v>
      </c>
      <c r="AE37" s="5">
        <f>DogSample3[[#This Row],[2nd Behavioural recording start]]+4</f>
        <v>46079</v>
      </c>
      <c r="AF37" s="61">
        <f>DogSample3[[#This Row],[2nd Behavioural recording start]]+5</f>
        <v>46080</v>
      </c>
      <c r="AG37" s="66">
        <v>10.15</v>
      </c>
      <c r="AH37" s="66">
        <v>7.17</v>
      </c>
      <c r="AI37" s="66">
        <v>6.53</v>
      </c>
      <c r="AJ37" s="66">
        <v>15.5</v>
      </c>
      <c r="AK37" s="66">
        <v>14.9</v>
      </c>
      <c r="AL37" s="66">
        <v>47</v>
      </c>
      <c r="AM37" s="66">
        <v>44.9</v>
      </c>
      <c r="AN37" s="66">
        <v>33</v>
      </c>
      <c r="AO37" s="11">
        <v>33.200000000000003</v>
      </c>
      <c r="AP37" s="66">
        <v>11.1</v>
      </c>
      <c r="AQ37" s="66">
        <v>11.3</v>
      </c>
      <c r="AR37" s="66">
        <v>8.19</v>
      </c>
      <c r="AS37" s="66">
        <v>8.11</v>
      </c>
      <c r="AT37" s="67">
        <v>56</v>
      </c>
      <c r="AU37" s="67">
        <v>58</v>
      </c>
      <c r="AV37" s="14">
        <v>30</v>
      </c>
      <c r="AW37" s="14">
        <v>32</v>
      </c>
      <c r="AX37" s="67">
        <v>8</v>
      </c>
      <c r="AY37" s="67">
        <v>4</v>
      </c>
      <c r="AZ37" s="67">
        <v>6</v>
      </c>
      <c r="BA37" s="67">
        <v>6</v>
      </c>
      <c r="BB37" s="66">
        <v>4.55</v>
      </c>
      <c r="BC37" s="66">
        <v>4.7</v>
      </c>
      <c r="BD37" s="66">
        <v>2.46</v>
      </c>
      <c r="BE37" s="66">
        <v>2.6</v>
      </c>
      <c r="BF37" s="66">
        <v>0.66</v>
      </c>
      <c r="BG37" s="66">
        <v>0.32</v>
      </c>
      <c r="BH37" s="66">
        <v>0.52</v>
      </c>
      <c r="BI37" s="66">
        <v>0.49</v>
      </c>
      <c r="BJ37" s="67">
        <v>471</v>
      </c>
      <c r="BK37" s="14">
        <v>529</v>
      </c>
      <c r="BL37" s="88">
        <v>7.9</v>
      </c>
      <c r="BM37" s="88">
        <v>8.1</v>
      </c>
      <c r="BN37" s="66">
        <v>0.37</v>
      </c>
      <c r="BO37" s="66">
        <v>0.42</v>
      </c>
      <c r="BP37" s="67">
        <v>27</v>
      </c>
      <c r="BQ37" s="67">
        <v>31</v>
      </c>
      <c r="BR37" s="67">
        <v>23</v>
      </c>
      <c r="BS37" s="67">
        <v>19</v>
      </c>
      <c r="BT37" s="66">
        <v>0.22</v>
      </c>
      <c r="BU37" s="66">
        <v>0.24</v>
      </c>
      <c r="BV37" s="67">
        <v>41</v>
      </c>
      <c r="BW37" s="67">
        <v>29</v>
      </c>
      <c r="BX37" s="66">
        <v>1.1599999999999999</v>
      </c>
      <c r="BY37" s="66">
        <v>0.92</v>
      </c>
      <c r="BZ37" s="67">
        <v>25103660</v>
      </c>
      <c r="CA37" s="67"/>
      <c r="CB37" s="12">
        <v>44</v>
      </c>
      <c r="CC37" s="12"/>
      <c r="CD37" s="17">
        <v>306.60000000000002</v>
      </c>
      <c r="CE37" s="11"/>
      <c r="CF37" s="21">
        <f t="shared" si="3"/>
        <v>0.14350945857795172</v>
      </c>
      <c r="CG37" s="11" t="e">
        <f t="shared" si="3"/>
        <v>#DIV/0!</v>
      </c>
      <c r="CH37" s="63" t="s">
        <v>100</v>
      </c>
      <c r="CI37" s="63"/>
      <c r="CJ37" s="55" t="s">
        <v>101</v>
      </c>
      <c r="CK37" s="55"/>
      <c r="CL37" s="55"/>
    </row>
    <row r="38" spans="1:90" x14ac:dyDescent="0.2">
      <c r="A38" s="1" t="s">
        <v>230</v>
      </c>
      <c r="B38" s="55" t="s">
        <v>231</v>
      </c>
      <c r="C38" s="1">
        <v>20241388</v>
      </c>
      <c r="D38" s="2">
        <v>380260170343866</v>
      </c>
      <c r="E38" s="67">
        <v>1</v>
      </c>
      <c r="F38" s="1">
        <v>35.799999999999997</v>
      </c>
      <c r="G38" s="1">
        <v>35.299999999999997</v>
      </c>
      <c r="H38" s="1">
        <v>3</v>
      </c>
      <c r="I38" s="1">
        <v>3</v>
      </c>
      <c r="J38" s="56">
        <f>DogSample3[[#This Row],[Weight pre (kg)]]*4.5/50</f>
        <v>3.222</v>
      </c>
      <c r="K38" s="1" t="s">
        <v>92</v>
      </c>
      <c r="L38" s="1"/>
      <c r="M38" s="3">
        <v>44048</v>
      </c>
      <c r="N38" s="3">
        <v>45509</v>
      </c>
      <c r="O38" s="55">
        <f t="shared" si="0"/>
        <v>1461</v>
      </c>
      <c r="P38" s="1" t="s">
        <v>104</v>
      </c>
      <c r="Q38" s="1" t="s">
        <v>94</v>
      </c>
      <c r="R38" s="1" t="s">
        <v>95</v>
      </c>
      <c r="S38" s="4">
        <v>46136</v>
      </c>
      <c r="T38">
        <f t="shared" si="1"/>
        <v>627</v>
      </c>
      <c r="U38" s="1" t="s">
        <v>232</v>
      </c>
      <c r="V38" s="1" t="s">
        <v>137</v>
      </c>
      <c r="W38" s="1" t="s">
        <v>233</v>
      </c>
      <c r="X38" s="3">
        <v>45533</v>
      </c>
      <c r="Y38" s="1" t="s">
        <v>139</v>
      </c>
      <c r="Z38" s="4">
        <v>46136</v>
      </c>
      <c r="AA38" s="3">
        <f>DogSample3[[#This Row],[Behavioural recording start]]+5</f>
        <v>46141</v>
      </c>
      <c r="AB38" s="89"/>
      <c r="AC38" s="4">
        <f>DogSample3[[#This Row],[1st Blood sample]]+1</f>
        <v>46142</v>
      </c>
      <c r="AD38" s="4">
        <f>DogSample3[[#This Row],[Treatment start]]+40</f>
        <v>46182</v>
      </c>
      <c r="AE38" s="5">
        <f>DogSample3[[#This Row],[2nd Behavioural recording start]]+4</f>
        <v>46186</v>
      </c>
      <c r="AF38" s="4">
        <f>DogSample3[[#This Row],[2nd Behavioural recording start]]+5</f>
        <v>46187</v>
      </c>
      <c r="AG38" s="8">
        <v>9.23</v>
      </c>
      <c r="AH38" s="8">
        <v>7.48</v>
      </c>
      <c r="AI38" s="8">
        <v>7.26</v>
      </c>
      <c r="AJ38" s="8">
        <v>17.3</v>
      </c>
      <c r="AK38" s="8">
        <v>17.899999999999999</v>
      </c>
      <c r="AL38" s="8">
        <v>50</v>
      </c>
      <c r="AM38" s="8">
        <v>48.7</v>
      </c>
      <c r="AN38" s="8">
        <v>34.6</v>
      </c>
      <c r="AO38" s="8">
        <v>36.799999999999997</v>
      </c>
      <c r="AP38" s="8">
        <v>11.3</v>
      </c>
      <c r="AQ38" s="8">
        <v>11.8</v>
      </c>
      <c r="AR38" s="8">
        <v>11.95</v>
      </c>
      <c r="AS38" s="8">
        <v>10</v>
      </c>
      <c r="AT38" s="10">
        <v>74</v>
      </c>
      <c r="AU38" s="10">
        <v>70</v>
      </c>
      <c r="AV38" s="10">
        <v>17</v>
      </c>
      <c r="AW38" s="10">
        <v>20</v>
      </c>
      <c r="AX38" s="10">
        <v>5</v>
      </c>
      <c r="AY38" s="10">
        <v>8</v>
      </c>
      <c r="AZ38" s="10">
        <v>4</v>
      </c>
      <c r="BA38" s="10">
        <v>4</v>
      </c>
      <c r="BB38" s="8">
        <v>8.9</v>
      </c>
      <c r="BC38" s="8">
        <v>7</v>
      </c>
      <c r="BD38" s="8">
        <v>2.02</v>
      </c>
      <c r="BE38" s="8">
        <v>1.97</v>
      </c>
      <c r="BF38" s="8">
        <v>0.56000000000000005</v>
      </c>
      <c r="BG38" s="8">
        <v>0.79</v>
      </c>
      <c r="BH38" s="8">
        <v>0.47</v>
      </c>
      <c r="BI38" s="8">
        <v>0.45</v>
      </c>
      <c r="BJ38" s="10">
        <v>192</v>
      </c>
      <c r="BK38" s="10">
        <v>208</v>
      </c>
      <c r="BL38" s="9">
        <v>11.8</v>
      </c>
      <c r="BM38" s="9">
        <v>10.9</v>
      </c>
      <c r="BN38" s="8">
        <v>0.23</v>
      </c>
      <c r="BO38" s="8">
        <v>0.23</v>
      </c>
      <c r="BP38" s="14">
        <v>44</v>
      </c>
      <c r="BQ38" s="14">
        <v>52</v>
      </c>
      <c r="BR38" s="10">
        <v>42</v>
      </c>
      <c r="BS38" s="10">
        <v>41</v>
      </c>
      <c r="BT38" s="8">
        <v>0.16</v>
      </c>
      <c r="BU38" s="8">
        <v>0.28999999999999998</v>
      </c>
      <c r="BV38" s="10">
        <v>27</v>
      </c>
      <c r="BW38" s="10">
        <v>24</v>
      </c>
      <c r="BX38" s="8">
        <v>1.03</v>
      </c>
      <c r="BY38" s="8">
        <v>1.1499999999999999</v>
      </c>
      <c r="BZ38" s="10">
        <v>26025637</v>
      </c>
      <c r="CA38" s="68">
        <v>26039682</v>
      </c>
      <c r="CB38" s="12">
        <v>11</v>
      </c>
      <c r="CC38" s="11"/>
      <c r="CD38" s="11">
        <v>397.4</v>
      </c>
      <c r="CE38" s="17">
        <v>247.8</v>
      </c>
      <c r="CF38" s="21" t="e">
        <f>(#REF!/CC38)</f>
        <v>#REF!</v>
      </c>
      <c r="CG38" s="11">
        <f>(CB38/CD38)</f>
        <v>2.7679919476597887E-2</v>
      </c>
      <c r="CH38" s="18"/>
      <c r="CJ38" s="55" t="s">
        <v>101</v>
      </c>
    </row>
    <row r="39" spans="1:90" x14ac:dyDescent="0.2">
      <c r="A39" s="1" t="s">
        <v>234</v>
      </c>
      <c r="B39" s="55" t="s">
        <v>235</v>
      </c>
      <c r="C39" s="1">
        <v>20220331</v>
      </c>
      <c r="D39" s="2">
        <v>380260044665415</v>
      </c>
      <c r="E39" s="2">
        <v>1</v>
      </c>
      <c r="F39" s="1">
        <v>27</v>
      </c>
      <c r="G39" s="1">
        <v>28</v>
      </c>
      <c r="H39" s="1">
        <v>3</v>
      </c>
      <c r="I39" s="1">
        <v>3</v>
      </c>
      <c r="J39" s="1">
        <f>DogSample3[[#This Row],[Weight pre (kg)]]*4.5/50</f>
        <v>2.4300000000000002</v>
      </c>
      <c r="K39" s="1" t="s">
        <v>92</v>
      </c>
      <c r="M39" s="3">
        <v>43896</v>
      </c>
      <c r="N39" s="3">
        <v>44627</v>
      </c>
      <c r="O39" s="55">
        <f t="shared" si="0"/>
        <v>731</v>
      </c>
      <c r="P39" s="1" t="s">
        <v>104</v>
      </c>
      <c r="Q39" s="1" t="s">
        <v>105</v>
      </c>
      <c r="R39" s="1" t="s">
        <v>95</v>
      </c>
      <c r="S39" s="4">
        <v>46040</v>
      </c>
      <c r="T39">
        <f t="shared" si="1"/>
        <v>1413</v>
      </c>
      <c r="U39" s="55" t="s">
        <v>96</v>
      </c>
      <c r="V39" s="1" t="s">
        <v>236</v>
      </c>
      <c r="W39" s="1"/>
      <c r="X39" s="3">
        <v>44725</v>
      </c>
      <c r="Y39" s="1" t="s">
        <v>139</v>
      </c>
      <c r="Z39" s="4">
        <v>46040</v>
      </c>
      <c r="AA39" s="3">
        <f>DogSample3[[#This Row],[Behavioural recording start]]+5</f>
        <v>46045</v>
      </c>
      <c r="AB39" s="19">
        <v>9.2799999999999994</v>
      </c>
      <c r="AC39" s="4">
        <f>DogSample3[[#This Row],[1st Blood sample]]+1</f>
        <v>46046</v>
      </c>
      <c r="AD39" s="4">
        <f>DogSample3[[#This Row],[Treatment start]]+40</f>
        <v>46086</v>
      </c>
      <c r="AE39" s="5">
        <f>DogSample3[[#This Row],[2nd Behavioural recording start]]+4</f>
        <v>46090</v>
      </c>
      <c r="AF39" s="4">
        <f>DogSample3[[#This Row],[2nd Behavioural recording start]]+5</f>
        <v>46091</v>
      </c>
      <c r="AG39" s="8">
        <v>9.31</v>
      </c>
      <c r="AH39" s="8">
        <v>8.0500000000000007</v>
      </c>
      <c r="AI39" s="8">
        <v>7.57</v>
      </c>
      <c r="AJ39" s="13">
        <v>18.41</v>
      </c>
      <c r="AK39" s="8">
        <v>16.399999999999999</v>
      </c>
      <c r="AL39" s="8">
        <v>51.3</v>
      </c>
      <c r="AM39" s="8">
        <v>47.5</v>
      </c>
      <c r="AN39" s="66">
        <v>35.9</v>
      </c>
      <c r="AO39" s="8">
        <v>34.5</v>
      </c>
      <c r="AP39" s="8">
        <v>14.6</v>
      </c>
      <c r="AQ39" s="8">
        <v>11.3</v>
      </c>
      <c r="AR39" s="8">
        <v>8.39</v>
      </c>
      <c r="AS39" s="8">
        <v>7.89</v>
      </c>
      <c r="AT39" s="15">
        <v>50</v>
      </c>
      <c r="AU39" s="10">
        <v>56</v>
      </c>
      <c r="AV39" s="14">
        <v>38</v>
      </c>
      <c r="AW39" s="14">
        <v>35</v>
      </c>
      <c r="AX39" s="10">
        <v>8</v>
      </c>
      <c r="AY39" s="10">
        <v>4</v>
      </c>
      <c r="AZ39" s="10">
        <v>5</v>
      </c>
      <c r="BA39" s="10">
        <v>5</v>
      </c>
      <c r="BB39" s="8">
        <v>4.1100000000000003</v>
      </c>
      <c r="BC39" s="8">
        <v>4.42</v>
      </c>
      <c r="BD39" s="8">
        <v>3.19</v>
      </c>
      <c r="BE39" s="8">
        <v>2.76</v>
      </c>
      <c r="BF39" s="8">
        <v>0.63</v>
      </c>
      <c r="BG39" s="8">
        <v>0.32</v>
      </c>
      <c r="BH39" s="8">
        <v>0.44</v>
      </c>
      <c r="BI39" s="8">
        <v>0.4</v>
      </c>
      <c r="BJ39" s="10">
        <v>252</v>
      </c>
      <c r="BK39" s="10">
        <v>262</v>
      </c>
      <c r="BL39" s="9">
        <v>9.1</v>
      </c>
      <c r="BM39" s="9">
        <v>10</v>
      </c>
      <c r="BN39" s="8">
        <v>0.22</v>
      </c>
      <c r="BO39" s="8">
        <v>0.26</v>
      </c>
      <c r="BP39" s="10">
        <v>39</v>
      </c>
      <c r="BQ39" s="10">
        <v>37</v>
      </c>
      <c r="BR39" s="10">
        <v>32</v>
      </c>
      <c r="BS39" s="10">
        <v>31</v>
      </c>
      <c r="BT39" s="8">
        <v>0.11</v>
      </c>
      <c r="BU39" s="8">
        <v>0.09</v>
      </c>
      <c r="BV39" s="10">
        <v>31</v>
      </c>
      <c r="BW39" s="10">
        <v>29</v>
      </c>
      <c r="BX39" s="8">
        <v>0.94</v>
      </c>
      <c r="BY39" s="8">
        <v>1.04</v>
      </c>
      <c r="BZ39" s="10">
        <v>26008540</v>
      </c>
      <c r="CA39" s="84">
        <v>26023899</v>
      </c>
      <c r="CB39" s="12">
        <v>31</v>
      </c>
      <c r="CC39" s="85" t="s">
        <v>196</v>
      </c>
      <c r="CD39" s="17">
        <v>261</v>
      </c>
      <c r="CE39" s="11"/>
      <c r="CF39" s="21">
        <f t="shared" ref="CF39:CG54" si="4">(CB39/CD39)</f>
        <v>0.11877394636015326</v>
      </c>
      <c r="CG39" s="11" t="e">
        <f t="shared" si="4"/>
        <v>#VALUE!</v>
      </c>
      <c r="CH39" s="63" t="s">
        <v>100</v>
      </c>
      <c r="CJ39" s="55" t="s">
        <v>101</v>
      </c>
    </row>
    <row r="40" spans="1:90" x14ac:dyDescent="0.2">
      <c r="A40" s="1" t="s">
        <v>237</v>
      </c>
      <c r="B40" s="55" t="s">
        <v>238</v>
      </c>
      <c r="C40" s="1">
        <v>20230392</v>
      </c>
      <c r="D40" s="2">
        <v>380260101057739</v>
      </c>
      <c r="E40" s="2">
        <v>0</v>
      </c>
      <c r="F40" s="1">
        <v>53.6</v>
      </c>
      <c r="G40" s="1">
        <v>57.1</v>
      </c>
      <c r="H40" s="1">
        <v>3</v>
      </c>
      <c r="I40" s="1">
        <v>3</v>
      </c>
      <c r="J40" s="56">
        <f>DogSample3[[#This Row],[Weight pre (kg)]]*4.5/50</f>
        <v>4.8240000000000007</v>
      </c>
      <c r="K40" s="1" t="s">
        <v>125</v>
      </c>
      <c r="M40" s="3">
        <v>43166</v>
      </c>
      <c r="N40" s="3">
        <v>44992</v>
      </c>
      <c r="O40" s="55">
        <f t="shared" si="0"/>
        <v>1826</v>
      </c>
      <c r="P40" s="1" t="s">
        <v>104</v>
      </c>
      <c r="Q40" s="1" t="s">
        <v>94</v>
      </c>
      <c r="R40" s="55" t="s">
        <v>239</v>
      </c>
      <c r="S40" s="4">
        <v>46007</v>
      </c>
      <c r="T40">
        <f t="shared" si="1"/>
        <v>1015</v>
      </c>
      <c r="U40" s="55" t="s">
        <v>96</v>
      </c>
      <c r="V40" s="55" t="s">
        <v>240</v>
      </c>
      <c r="W40" s="55"/>
      <c r="X40" s="3">
        <v>45064</v>
      </c>
      <c r="Y40" s="1" t="s">
        <v>139</v>
      </c>
      <c r="Z40" s="4">
        <v>46007</v>
      </c>
      <c r="AA40" s="3">
        <f>DogSample3[[#This Row],[Behavioural recording start]]+5</f>
        <v>46012</v>
      </c>
      <c r="AB40" s="19">
        <v>9.5399999999999991</v>
      </c>
      <c r="AC40" s="4">
        <f>DogSample3[[#This Row],[1st Blood sample]]+1</f>
        <v>46013</v>
      </c>
      <c r="AD40" s="4">
        <f>DogSample3[[#This Row],[Treatment start]]+40</f>
        <v>46053</v>
      </c>
      <c r="AE40" s="5">
        <f>DogSample3[[#This Row],[2nd Behavioural recording start]]+4</f>
        <v>46057</v>
      </c>
      <c r="AF40" s="4">
        <f>DogSample3[[#This Row],[2nd Behavioural recording start]]+5</f>
        <v>46058</v>
      </c>
      <c r="AG40" s="8">
        <v>10.35</v>
      </c>
      <c r="AH40" s="8">
        <v>7.52</v>
      </c>
      <c r="AI40" s="8">
        <v>7.28</v>
      </c>
      <c r="AJ40" s="8">
        <v>16.8</v>
      </c>
      <c r="AK40" s="8">
        <v>16.399999999999999</v>
      </c>
      <c r="AL40" s="8">
        <v>49.4</v>
      </c>
      <c r="AM40" s="8">
        <v>47.2</v>
      </c>
      <c r="AN40" s="8">
        <v>34</v>
      </c>
      <c r="AO40" s="8">
        <v>34.700000000000003</v>
      </c>
      <c r="AP40" s="8">
        <v>12.3</v>
      </c>
      <c r="AQ40" s="8">
        <v>11.5</v>
      </c>
      <c r="AR40" s="8">
        <v>10.52</v>
      </c>
      <c r="AS40" s="8">
        <v>10.44</v>
      </c>
      <c r="AT40" s="10">
        <v>60</v>
      </c>
      <c r="AU40" s="10">
        <v>60</v>
      </c>
      <c r="AV40" s="14">
        <v>27</v>
      </c>
      <c r="AW40" s="14">
        <v>29</v>
      </c>
      <c r="AX40" s="10">
        <v>5</v>
      </c>
      <c r="AY40" s="10">
        <v>5</v>
      </c>
      <c r="AZ40" s="14">
        <v>8</v>
      </c>
      <c r="BA40" s="10">
        <v>6</v>
      </c>
      <c r="BB40" s="8">
        <v>6.3</v>
      </c>
      <c r="BC40" s="8">
        <v>6.21</v>
      </c>
      <c r="BD40" s="8">
        <v>2.8</v>
      </c>
      <c r="BE40" s="8">
        <v>3.07</v>
      </c>
      <c r="BF40" s="8">
        <v>0.56999999999999995</v>
      </c>
      <c r="BG40" s="8">
        <v>0.54</v>
      </c>
      <c r="BH40" s="13">
        <v>0.85</v>
      </c>
      <c r="BI40" s="8">
        <v>0.62</v>
      </c>
      <c r="BJ40" s="10">
        <v>236</v>
      </c>
      <c r="BK40" s="10">
        <v>224</v>
      </c>
      <c r="BL40" s="9">
        <v>11.3</v>
      </c>
      <c r="BM40" s="9">
        <v>10.199999999999999</v>
      </c>
      <c r="BN40" s="8">
        <v>0.27</v>
      </c>
      <c r="BO40" s="8">
        <v>0.23</v>
      </c>
      <c r="BP40" s="14">
        <v>50</v>
      </c>
      <c r="BQ40" s="10">
        <v>30</v>
      </c>
      <c r="BR40" s="10">
        <v>28</v>
      </c>
      <c r="BS40" s="10">
        <v>24</v>
      </c>
      <c r="BT40" s="16">
        <v>7.0000000000000007E-2</v>
      </c>
      <c r="BU40" s="8">
        <v>0.12</v>
      </c>
      <c r="BV40" s="10">
        <v>35</v>
      </c>
      <c r="BW40" s="7">
        <v>31</v>
      </c>
      <c r="BX40" s="8">
        <v>1.1499999999999999</v>
      </c>
      <c r="BY40" s="8">
        <v>1.08</v>
      </c>
      <c r="BZ40" s="10">
        <v>25113915</v>
      </c>
      <c r="CA40" s="10">
        <v>26013632</v>
      </c>
      <c r="CB40" s="12">
        <v>30</v>
      </c>
      <c r="CC40" s="12">
        <v>28</v>
      </c>
      <c r="CD40" s="17">
        <v>258.5</v>
      </c>
      <c r="CE40" s="17">
        <v>330.5</v>
      </c>
      <c r="CF40" s="21">
        <f t="shared" si="4"/>
        <v>0.11605415860735009</v>
      </c>
      <c r="CG40" s="11">
        <f t="shared" si="4"/>
        <v>8.4720121028744322E-2</v>
      </c>
      <c r="CH40" s="63" t="s">
        <v>100</v>
      </c>
      <c r="CJ40" s="55" t="s">
        <v>101</v>
      </c>
    </row>
    <row r="41" spans="1:90" x14ac:dyDescent="0.2">
      <c r="A41" s="1" t="s">
        <v>241</v>
      </c>
      <c r="B41" s="55" t="s">
        <v>242</v>
      </c>
      <c r="C41" s="1">
        <v>20230398</v>
      </c>
      <c r="D41" s="2">
        <v>380260101574174</v>
      </c>
      <c r="E41" s="2">
        <v>0</v>
      </c>
      <c r="F41" s="1">
        <v>19.600000000000001</v>
      </c>
      <c r="G41" s="1">
        <v>19.399999999999999</v>
      </c>
      <c r="H41" s="1">
        <v>3</v>
      </c>
      <c r="I41" s="1">
        <v>3</v>
      </c>
      <c r="J41" s="56">
        <f>DogSample3[[#This Row],[Weight pre (kg)]]*4.5/50</f>
        <v>1.764</v>
      </c>
      <c r="K41" s="1" t="s">
        <v>243</v>
      </c>
      <c r="M41" s="3">
        <v>43701</v>
      </c>
      <c r="N41" s="3">
        <v>44994</v>
      </c>
      <c r="O41" s="55">
        <f t="shared" si="0"/>
        <v>1293</v>
      </c>
      <c r="P41" s="1" t="s">
        <v>93</v>
      </c>
      <c r="Q41" s="1" t="s">
        <v>105</v>
      </c>
      <c r="R41" s="55" t="s">
        <v>106</v>
      </c>
      <c r="S41" s="61">
        <v>45960</v>
      </c>
      <c r="T41">
        <f t="shared" si="1"/>
        <v>966</v>
      </c>
      <c r="U41" s="55" t="s">
        <v>96</v>
      </c>
      <c r="V41" s="1" t="s">
        <v>132</v>
      </c>
      <c r="W41" s="1"/>
      <c r="X41" s="3" t="s">
        <v>157</v>
      </c>
      <c r="Y41" s="1" t="s">
        <v>244</v>
      </c>
      <c r="Z41" s="61">
        <v>45960</v>
      </c>
      <c r="AA41" s="3">
        <f>DogSample3[[#This Row],[Behavioural recording start]]+5</f>
        <v>45965</v>
      </c>
      <c r="AB41" s="19">
        <v>9.15</v>
      </c>
      <c r="AC41" s="4">
        <f>DogSample3[[#This Row],[1st Blood sample]]+1</f>
        <v>45966</v>
      </c>
      <c r="AD41" s="4">
        <f>DogSample3[[#This Row],[Treatment start]]+40</f>
        <v>46006</v>
      </c>
      <c r="AE41" s="5">
        <f>DogSample3[[#This Row],[2nd Behavioural recording start]]+4</f>
        <v>46010</v>
      </c>
      <c r="AF41" s="4">
        <v>46010</v>
      </c>
      <c r="AG41" s="8">
        <v>10</v>
      </c>
      <c r="AH41" s="8">
        <v>6.95</v>
      </c>
      <c r="AI41" s="8">
        <v>7.56</v>
      </c>
      <c r="AJ41" s="8">
        <v>15.7</v>
      </c>
      <c r="AK41" s="8">
        <v>16.899999999999999</v>
      </c>
      <c r="AL41" s="8">
        <v>46.6</v>
      </c>
      <c r="AM41" s="8">
        <v>49.6</v>
      </c>
      <c r="AN41" s="8">
        <v>33.700000000000003</v>
      </c>
      <c r="AO41" s="8">
        <v>34.1</v>
      </c>
      <c r="AP41" s="8">
        <v>11.4</v>
      </c>
      <c r="AQ41" s="8">
        <v>11.2</v>
      </c>
      <c r="AR41" s="8">
        <v>8.9600000000000009</v>
      </c>
      <c r="AS41" s="8">
        <v>8.5299999999999994</v>
      </c>
      <c r="AT41" s="10">
        <v>66</v>
      </c>
      <c r="AU41" s="10">
        <v>68</v>
      </c>
      <c r="AV41" s="10">
        <v>24</v>
      </c>
      <c r="AW41" s="10">
        <v>22</v>
      </c>
      <c r="AX41" s="10">
        <v>5</v>
      </c>
      <c r="AY41" s="10">
        <v>5</v>
      </c>
      <c r="AZ41" s="10">
        <v>5</v>
      </c>
      <c r="BA41" s="10">
        <v>4</v>
      </c>
      <c r="BB41" s="8">
        <v>5.91</v>
      </c>
      <c r="BC41" s="8">
        <v>5.79</v>
      </c>
      <c r="BD41" s="8">
        <v>2.15</v>
      </c>
      <c r="BE41" s="8">
        <v>1.9</v>
      </c>
      <c r="BF41" s="8">
        <v>0.45</v>
      </c>
      <c r="BG41" s="8">
        <v>0.45</v>
      </c>
      <c r="BH41" s="8">
        <v>0.45</v>
      </c>
      <c r="BI41" s="8">
        <v>0.38</v>
      </c>
      <c r="BJ41" s="10">
        <v>368</v>
      </c>
      <c r="BK41" s="10">
        <v>435</v>
      </c>
      <c r="BL41" s="9">
        <v>11.2</v>
      </c>
      <c r="BM41" s="9">
        <v>11.1</v>
      </c>
      <c r="BN41" s="8">
        <v>0.41</v>
      </c>
      <c r="BO41" s="8">
        <v>0.48</v>
      </c>
      <c r="BP41" s="10">
        <v>37</v>
      </c>
      <c r="BQ41" s="14">
        <v>46</v>
      </c>
      <c r="BR41" s="10">
        <v>47</v>
      </c>
      <c r="BS41" s="10">
        <v>56</v>
      </c>
      <c r="BT41" s="8">
        <v>0.09</v>
      </c>
      <c r="BU41" s="8">
        <v>0.13</v>
      </c>
      <c r="BV41" s="10">
        <v>31</v>
      </c>
      <c r="BW41" s="10">
        <v>28</v>
      </c>
      <c r="BX41" s="8">
        <v>1.1100000000000001</v>
      </c>
      <c r="BY41" s="8">
        <v>0.99</v>
      </c>
      <c r="BZ41" s="10">
        <v>25094125</v>
      </c>
      <c r="CA41">
        <v>25113142</v>
      </c>
      <c r="CB41" s="12">
        <v>48</v>
      </c>
      <c r="CC41" s="12">
        <v>36</v>
      </c>
      <c r="CD41" s="17">
        <v>350.4</v>
      </c>
      <c r="CE41" s="17">
        <v>290.60000000000002</v>
      </c>
      <c r="CF41" s="21">
        <f t="shared" si="4"/>
        <v>0.13698630136986303</v>
      </c>
      <c r="CG41" s="11">
        <f t="shared" si="4"/>
        <v>0.12388162422573984</v>
      </c>
      <c r="CH41" s="63" t="s">
        <v>129</v>
      </c>
      <c r="CJ41" s="55" t="s">
        <v>101</v>
      </c>
    </row>
    <row r="42" spans="1:90" x14ac:dyDescent="0.2">
      <c r="A42" s="6" t="s">
        <v>245</v>
      </c>
      <c r="B42" s="6" t="s">
        <v>246</v>
      </c>
      <c r="C42" s="1">
        <v>20222113</v>
      </c>
      <c r="D42" s="2">
        <v>380260102097219</v>
      </c>
      <c r="E42" s="2">
        <v>0</v>
      </c>
      <c r="F42" s="1">
        <v>40.6</v>
      </c>
      <c r="G42" s="1">
        <v>41</v>
      </c>
      <c r="H42" s="1">
        <v>3</v>
      </c>
      <c r="I42" s="1">
        <v>4</v>
      </c>
      <c r="J42" s="56">
        <f>DogSample3[[#This Row],[Weight pre (kg)]]*4.5/50</f>
        <v>3.6540000000000004</v>
      </c>
      <c r="K42" s="1" t="s">
        <v>92</v>
      </c>
      <c r="M42" s="3">
        <v>44146</v>
      </c>
      <c r="N42" s="3">
        <v>44876</v>
      </c>
      <c r="O42" s="55">
        <f t="shared" si="0"/>
        <v>730</v>
      </c>
      <c r="P42" s="1" t="s">
        <v>104</v>
      </c>
      <c r="Q42" s="1" t="s">
        <v>94</v>
      </c>
      <c r="R42" s="55" t="s">
        <v>239</v>
      </c>
      <c r="S42" s="4">
        <v>46100</v>
      </c>
      <c r="T42">
        <f t="shared" si="1"/>
        <v>1224</v>
      </c>
      <c r="U42" s="55" t="s">
        <v>96</v>
      </c>
      <c r="V42" s="55" t="s">
        <v>240</v>
      </c>
      <c r="W42" s="55"/>
      <c r="X42" s="3">
        <v>44956</v>
      </c>
      <c r="Y42" s="1" t="s">
        <v>139</v>
      </c>
      <c r="Z42" s="4">
        <v>46100</v>
      </c>
      <c r="AA42" s="3">
        <f>DogSample3[[#This Row],[Behavioural recording start]]+5</f>
        <v>46105</v>
      </c>
      <c r="AB42" s="19">
        <v>9.48</v>
      </c>
      <c r="AC42" s="4">
        <f>DogSample3[[#This Row],[1st Blood sample]]+1</f>
        <v>46106</v>
      </c>
      <c r="AD42" s="4">
        <f>DogSample3[[#This Row],[Treatment start]]+40</f>
        <v>46146</v>
      </c>
      <c r="AE42" s="5">
        <f>DogSample3[[#This Row],[2nd Behavioural recording start]]+4</f>
        <v>46150</v>
      </c>
      <c r="AF42" s="4">
        <f>DogSample3[[#This Row],[2nd Behavioural recording start]]+5</f>
        <v>46151</v>
      </c>
      <c r="AG42" s="8">
        <v>11.45</v>
      </c>
      <c r="AH42" s="8">
        <v>7.63</v>
      </c>
      <c r="AI42" s="8">
        <v>7.12</v>
      </c>
      <c r="AJ42" s="8">
        <v>17.100000000000001</v>
      </c>
      <c r="AK42" s="8">
        <v>17.3</v>
      </c>
      <c r="AL42" s="8">
        <v>51</v>
      </c>
      <c r="AM42" s="8">
        <v>47.7</v>
      </c>
      <c r="AN42" s="8">
        <v>33.5</v>
      </c>
      <c r="AO42" s="8">
        <v>36.299999999999997</v>
      </c>
      <c r="AP42" s="8">
        <v>11.6</v>
      </c>
      <c r="AQ42" s="8">
        <v>12</v>
      </c>
      <c r="AR42" s="8">
        <v>7.1</v>
      </c>
      <c r="AS42" s="8">
        <v>7.67</v>
      </c>
      <c r="AT42" s="15">
        <v>54</v>
      </c>
      <c r="AU42" s="15">
        <v>53</v>
      </c>
      <c r="AV42" s="14">
        <v>36</v>
      </c>
      <c r="AW42" s="14">
        <v>33</v>
      </c>
      <c r="AX42" s="10">
        <v>5</v>
      </c>
      <c r="AY42" s="10">
        <v>7</v>
      </c>
      <c r="AZ42" s="10">
        <v>5</v>
      </c>
      <c r="BA42" s="10">
        <v>7</v>
      </c>
      <c r="BB42" s="8">
        <v>3.83</v>
      </c>
      <c r="BC42" s="8">
        <v>4.07</v>
      </c>
      <c r="BD42" s="8">
        <v>2.56</v>
      </c>
      <c r="BE42" s="8">
        <v>2.5299999999999998</v>
      </c>
      <c r="BF42" s="8">
        <v>0.36</v>
      </c>
      <c r="BG42" s="8">
        <v>0.56999999999999995</v>
      </c>
      <c r="BH42" s="8">
        <v>0.36</v>
      </c>
      <c r="BI42" s="8">
        <v>0.56999999999999995</v>
      </c>
      <c r="BJ42" s="10">
        <v>213</v>
      </c>
      <c r="BK42" s="10">
        <v>218</v>
      </c>
      <c r="BL42" s="9">
        <v>10.8</v>
      </c>
      <c r="BM42" s="10">
        <v>10</v>
      </c>
      <c r="BN42" s="8">
        <v>0.23</v>
      </c>
      <c r="BO42" s="8">
        <v>0.22</v>
      </c>
      <c r="BP42" s="14">
        <v>41</v>
      </c>
      <c r="BQ42" s="14">
        <v>46</v>
      </c>
      <c r="BR42" s="10">
        <v>41</v>
      </c>
      <c r="BS42" s="10">
        <v>31</v>
      </c>
      <c r="BT42" s="8">
        <v>0.27</v>
      </c>
      <c r="BU42" s="8">
        <v>0.35</v>
      </c>
      <c r="BV42" s="10">
        <v>23</v>
      </c>
      <c r="BW42" s="10">
        <v>26</v>
      </c>
      <c r="BX42" s="8">
        <v>1.21</v>
      </c>
      <c r="BY42" s="8">
        <v>1.48</v>
      </c>
      <c r="BZ42" s="10">
        <v>26028530</v>
      </c>
      <c r="CA42" s="68">
        <v>26042746</v>
      </c>
      <c r="CB42" s="12">
        <v>26</v>
      </c>
      <c r="CC42" s="11"/>
      <c r="CD42" s="17">
        <v>382.3</v>
      </c>
      <c r="CE42" s="11"/>
      <c r="CF42" s="21">
        <f t="shared" si="4"/>
        <v>6.8009416688464552E-2</v>
      </c>
      <c r="CG42" s="11">
        <f>(CB42/CD42)</f>
        <v>6.8009416688464552E-2</v>
      </c>
      <c r="CH42" s="18"/>
      <c r="CJ42" s="55" t="s">
        <v>101</v>
      </c>
    </row>
    <row r="43" spans="1:90" x14ac:dyDescent="0.2">
      <c r="A43" s="1" t="s">
        <v>247</v>
      </c>
      <c r="B43" s="55" t="s">
        <v>248</v>
      </c>
      <c r="C43" s="1">
        <v>20201532</v>
      </c>
      <c r="D43" s="2">
        <v>380260044280595</v>
      </c>
      <c r="E43" s="2">
        <v>0</v>
      </c>
      <c r="F43" s="1">
        <v>16</v>
      </c>
      <c r="G43" s="1">
        <v>17.3</v>
      </c>
      <c r="H43" s="1">
        <v>3</v>
      </c>
      <c r="I43" s="1">
        <v>3</v>
      </c>
      <c r="J43" s="1">
        <f>DogSample3[[#This Row],[Weight pre (kg)]]*4.5/50</f>
        <v>1.44</v>
      </c>
      <c r="K43" s="1" t="s">
        <v>249</v>
      </c>
      <c r="M43" s="3">
        <v>43754</v>
      </c>
      <c r="N43" s="3">
        <v>44119</v>
      </c>
      <c r="O43" s="55">
        <f t="shared" si="0"/>
        <v>365</v>
      </c>
      <c r="P43" s="1" t="s">
        <v>104</v>
      </c>
      <c r="Q43" s="1" t="s">
        <v>127</v>
      </c>
      <c r="R43" s="1" t="s">
        <v>95</v>
      </c>
      <c r="S43" s="4">
        <v>46040</v>
      </c>
      <c r="T43">
        <f t="shared" si="1"/>
        <v>1921</v>
      </c>
      <c r="U43" s="55" t="s">
        <v>96</v>
      </c>
      <c r="V43" s="1" t="s">
        <v>137</v>
      </c>
      <c r="W43" s="1"/>
      <c r="X43" s="3">
        <v>44147</v>
      </c>
      <c r="Y43" s="1" t="s">
        <v>139</v>
      </c>
      <c r="Z43" s="4">
        <v>46040</v>
      </c>
      <c r="AA43" s="3">
        <f>DogSample3[[#This Row],[Behavioural recording start]]+5</f>
        <v>46045</v>
      </c>
      <c r="AB43" s="19">
        <v>10.3</v>
      </c>
      <c r="AC43" s="4">
        <f>DogSample3[[#This Row],[1st Blood sample]]+1</f>
        <v>46046</v>
      </c>
      <c r="AD43" s="4">
        <f>DogSample3[[#This Row],[Treatment start]]+40</f>
        <v>46086</v>
      </c>
      <c r="AE43" s="5">
        <f>DogSample3[[#This Row],[2nd Behavioural recording start]]+4</f>
        <v>46090</v>
      </c>
      <c r="AF43" s="4">
        <f>DogSample3[[#This Row],[2nd Behavioural recording start]]+5</f>
        <v>46091</v>
      </c>
      <c r="AG43" s="8">
        <v>9.4700000000000006</v>
      </c>
      <c r="AH43" s="8">
        <v>8.16</v>
      </c>
      <c r="AI43" s="13">
        <v>8.52</v>
      </c>
      <c r="AJ43" s="13">
        <v>19.010000000000002</v>
      </c>
      <c r="AK43" s="13">
        <v>18.600000000000001</v>
      </c>
      <c r="AL43" s="8">
        <v>52.6</v>
      </c>
      <c r="AM43" s="8">
        <v>52.5</v>
      </c>
      <c r="AN43" s="8">
        <v>36.1</v>
      </c>
      <c r="AO43" s="66">
        <v>35.4</v>
      </c>
      <c r="AP43" s="13">
        <v>16.21</v>
      </c>
      <c r="AQ43" s="11">
        <v>11.9</v>
      </c>
      <c r="AR43" s="8">
        <v>7.42</v>
      </c>
      <c r="AS43" s="8">
        <v>8.57</v>
      </c>
      <c r="AT43" s="10">
        <v>70</v>
      </c>
      <c r="AU43" s="10">
        <v>72</v>
      </c>
      <c r="AV43" s="10">
        <v>22</v>
      </c>
      <c r="AW43" s="10">
        <v>22</v>
      </c>
      <c r="AX43" s="10">
        <v>8</v>
      </c>
      <c r="AY43" s="10">
        <v>4</v>
      </c>
      <c r="AZ43" s="10">
        <v>2</v>
      </c>
      <c r="BA43" s="10">
        <v>2</v>
      </c>
      <c r="BB43" s="8">
        <v>5.04</v>
      </c>
      <c r="BC43" s="8">
        <v>6.17</v>
      </c>
      <c r="BD43" s="8">
        <v>1.61</v>
      </c>
      <c r="BE43" s="8">
        <v>1.88</v>
      </c>
      <c r="BF43" s="8">
        <v>0.57999999999999996</v>
      </c>
      <c r="BG43" s="8">
        <v>0.34</v>
      </c>
      <c r="BH43" s="8">
        <v>0.18</v>
      </c>
      <c r="BI43" s="8">
        <v>0.17</v>
      </c>
      <c r="BJ43" s="10">
        <v>313</v>
      </c>
      <c r="BK43" s="10">
        <v>268</v>
      </c>
      <c r="BL43" s="9">
        <v>9.5</v>
      </c>
      <c r="BM43" s="9">
        <v>8.6999999999999993</v>
      </c>
      <c r="BN43" s="8">
        <v>0.32</v>
      </c>
      <c r="BO43" s="8">
        <v>0.23</v>
      </c>
      <c r="BP43" s="14">
        <v>54</v>
      </c>
      <c r="BQ43" s="10">
        <v>36</v>
      </c>
      <c r="BR43" s="10">
        <v>42</v>
      </c>
      <c r="BS43" s="10">
        <v>43</v>
      </c>
      <c r="BT43" s="8">
        <v>0.18</v>
      </c>
      <c r="BU43" s="8">
        <v>0.09</v>
      </c>
      <c r="BV43" s="10">
        <v>25</v>
      </c>
      <c r="BW43" s="10">
        <v>29</v>
      </c>
      <c r="BX43" s="8">
        <v>0.82</v>
      </c>
      <c r="BY43" s="8">
        <v>0.83</v>
      </c>
      <c r="BZ43" s="7">
        <v>26008540</v>
      </c>
      <c r="CA43" s="10">
        <v>26023899</v>
      </c>
      <c r="CB43" s="12">
        <v>31</v>
      </c>
      <c r="CC43" s="12">
        <v>50</v>
      </c>
      <c r="CD43" s="17">
        <v>346</v>
      </c>
      <c r="CE43" s="17">
        <v>328.3</v>
      </c>
      <c r="CF43" s="21">
        <f t="shared" si="4"/>
        <v>8.9595375722543349E-2</v>
      </c>
      <c r="CG43" s="11">
        <f t="shared" si="4"/>
        <v>0.15229972586049345</v>
      </c>
      <c r="CH43" s="63">
        <v>0.09</v>
      </c>
      <c r="CI43" s="18">
        <v>0.22</v>
      </c>
      <c r="CJ43" s="55" t="s">
        <v>133</v>
      </c>
    </row>
    <row r="44" spans="1:90" x14ac:dyDescent="0.2">
      <c r="A44" s="1" t="s">
        <v>250</v>
      </c>
      <c r="B44" s="55" t="s">
        <v>251</v>
      </c>
      <c r="C44" s="1">
        <v>20220019</v>
      </c>
      <c r="D44" s="2">
        <v>380260042316935</v>
      </c>
      <c r="E44" s="2">
        <v>1</v>
      </c>
      <c r="F44" s="1">
        <v>34</v>
      </c>
      <c r="G44" s="1">
        <v>34.4</v>
      </c>
      <c r="H44" s="1">
        <v>2</v>
      </c>
      <c r="I44" s="1">
        <v>2</v>
      </c>
      <c r="J44" s="1">
        <f>DogSample3[[#This Row],[Weight pre (kg)]]*4.5/50</f>
        <v>3.06</v>
      </c>
      <c r="K44" s="1" t="s">
        <v>92</v>
      </c>
      <c r="L44" s="55" t="s">
        <v>107</v>
      </c>
      <c r="M44" s="3">
        <v>43839</v>
      </c>
      <c r="N44" s="3">
        <v>44566</v>
      </c>
      <c r="O44" s="55">
        <f t="shared" si="0"/>
        <v>727</v>
      </c>
      <c r="P44" s="1" t="s">
        <v>104</v>
      </c>
      <c r="Q44" s="1" t="s">
        <v>94</v>
      </c>
      <c r="R44" s="55" t="s">
        <v>252</v>
      </c>
      <c r="S44" s="4">
        <v>46064</v>
      </c>
      <c r="T44">
        <f t="shared" si="1"/>
        <v>1498</v>
      </c>
      <c r="U44" s="55" t="s">
        <v>96</v>
      </c>
      <c r="V44" s="1" t="s">
        <v>107</v>
      </c>
      <c r="W44" s="1"/>
      <c r="X44" s="3">
        <v>44596</v>
      </c>
      <c r="Y44" s="1" t="s">
        <v>139</v>
      </c>
      <c r="Z44" s="4">
        <v>46064</v>
      </c>
      <c r="AA44" s="3">
        <f>DogSample3[[#This Row],[Behavioural recording start]]+5</f>
        <v>46069</v>
      </c>
      <c r="AB44" s="19">
        <v>10.15</v>
      </c>
      <c r="AC44" s="4">
        <f>DogSample3[[#This Row],[1st Blood sample]]+1</f>
        <v>46070</v>
      </c>
      <c r="AD44" s="4">
        <f>DogSample3[[#This Row],[Treatment start]]+40</f>
        <v>46110</v>
      </c>
      <c r="AE44" s="5">
        <f>DogSample3[[#This Row],[2nd Behavioural recording start]]+4</f>
        <v>46114</v>
      </c>
      <c r="AF44" s="4">
        <f>DogSample3[[#This Row],[2nd Behavioural recording start]]+5</f>
        <v>46115</v>
      </c>
      <c r="AG44" s="8">
        <v>10.3</v>
      </c>
      <c r="AH44" s="8">
        <v>6.61</v>
      </c>
      <c r="AI44" s="8">
        <v>6.59</v>
      </c>
      <c r="AJ44" s="8">
        <v>14.7</v>
      </c>
      <c r="AK44" s="8">
        <v>15.6</v>
      </c>
      <c r="AL44" s="8">
        <v>42.4</v>
      </c>
      <c r="AM44" s="8">
        <v>43.7</v>
      </c>
      <c r="AN44" s="8">
        <v>34.700000000000003</v>
      </c>
      <c r="AO44" s="66">
        <v>35.700000000000003</v>
      </c>
      <c r="AP44" s="8">
        <v>11.1</v>
      </c>
      <c r="AQ44" s="8">
        <v>11.8</v>
      </c>
      <c r="AR44" s="8">
        <v>9.23</v>
      </c>
      <c r="AS44" s="8">
        <v>8.27</v>
      </c>
      <c r="AT44" s="10">
        <v>64</v>
      </c>
      <c r="AU44" s="10">
        <v>57</v>
      </c>
      <c r="AV44" s="10">
        <v>24</v>
      </c>
      <c r="AW44" s="10">
        <v>25</v>
      </c>
      <c r="AX44" s="10">
        <v>4</v>
      </c>
      <c r="AY44" s="10">
        <v>8</v>
      </c>
      <c r="AZ44" s="10">
        <v>8</v>
      </c>
      <c r="BA44" s="14">
        <v>11</v>
      </c>
      <c r="BB44" s="8">
        <v>5.91</v>
      </c>
      <c r="BC44" s="8">
        <v>4.71</v>
      </c>
      <c r="BD44" s="8">
        <v>2.2200000000000002</v>
      </c>
      <c r="BE44" s="8">
        <v>2.1</v>
      </c>
      <c r="BF44" s="8">
        <v>0.37</v>
      </c>
      <c r="BG44" s="8">
        <v>0.64</v>
      </c>
      <c r="BH44" s="13">
        <v>0.74</v>
      </c>
      <c r="BI44" s="13">
        <v>0.91</v>
      </c>
      <c r="BJ44" s="10">
        <v>179</v>
      </c>
      <c r="BK44" s="10">
        <v>185</v>
      </c>
      <c r="BL44" s="9">
        <v>10.199999999999999</v>
      </c>
      <c r="BM44" s="8">
        <v>11</v>
      </c>
      <c r="BN44" s="8">
        <v>0.18</v>
      </c>
      <c r="BO44" s="8">
        <v>0.2</v>
      </c>
      <c r="BP44" s="14">
        <v>50</v>
      </c>
      <c r="BQ44" s="10">
        <v>40</v>
      </c>
      <c r="BR44" s="7">
        <v>38</v>
      </c>
      <c r="BS44" s="10">
        <v>38</v>
      </c>
      <c r="BT44" s="8">
        <v>0.5</v>
      </c>
      <c r="BU44" s="8">
        <v>0.18</v>
      </c>
      <c r="BV44" s="10">
        <v>42</v>
      </c>
      <c r="BW44" s="10">
        <v>44</v>
      </c>
      <c r="BX44" s="8">
        <v>0.97</v>
      </c>
      <c r="BY44" s="8">
        <v>1.1200000000000001</v>
      </c>
      <c r="BZ44" s="10">
        <v>26016805</v>
      </c>
      <c r="CA44" s="68">
        <v>26031562</v>
      </c>
      <c r="CB44" s="70">
        <v>-3</v>
      </c>
      <c r="CC44" s="70" t="s">
        <v>118</v>
      </c>
      <c r="CD44" s="17">
        <v>314.39999999999998</v>
      </c>
      <c r="CE44" s="17">
        <v>329.1</v>
      </c>
      <c r="CF44" s="21">
        <f t="shared" si="4"/>
        <v>-9.5419847328244278E-3</v>
      </c>
      <c r="CG44" s="11" t="e">
        <f t="shared" si="4"/>
        <v>#VALUE!</v>
      </c>
      <c r="CH44" s="18"/>
      <c r="CJ44" s="55" t="s">
        <v>101</v>
      </c>
    </row>
    <row r="45" spans="1:90" x14ac:dyDescent="0.2">
      <c r="A45" s="1" t="s">
        <v>253</v>
      </c>
      <c r="B45" s="55" t="s">
        <v>254</v>
      </c>
      <c r="C45" s="1">
        <v>20221774</v>
      </c>
      <c r="D45" s="2">
        <v>380260044732220</v>
      </c>
      <c r="E45" s="2">
        <v>0</v>
      </c>
      <c r="F45">
        <v>14.5</v>
      </c>
      <c r="G45">
        <v>14.5</v>
      </c>
      <c r="H45">
        <v>3</v>
      </c>
      <c r="I45">
        <v>3</v>
      </c>
      <c r="J45" s="56">
        <f>DogSample3[[#This Row],[Weight pre (kg)]]*4.5/50</f>
        <v>1.3049999999999999</v>
      </c>
      <c r="K45" s="55" t="s">
        <v>243</v>
      </c>
      <c r="M45" s="3">
        <v>42997</v>
      </c>
      <c r="N45" s="3">
        <v>44823</v>
      </c>
      <c r="O45" s="55">
        <f t="shared" si="0"/>
        <v>1826</v>
      </c>
      <c r="P45" s="1" t="s">
        <v>93</v>
      </c>
      <c r="Q45" s="1" t="s">
        <v>127</v>
      </c>
      <c r="R45" s="55" t="s">
        <v>106</v>
      </c>
      <c r="S45" s="4">
        <v>46029</v>
      </c>
      <c r="T45">
        <f t="shared" si="1"/>
        <v>1206</v>
      </c>
      <c r="U45" s="55" t="s">
        <v>96</v>
      </c>
      <c r="V45" s="1" t="s">
        <v>255</v>
      </c>
      <c r="W45" s="1"/>
      <c r="X45" s="3">
        <v>44841</v>
      </c>
      <c r="Y45" s="1" t="s">
        <v>139</v>
      </c>
      <c r="Z45" s="4">
        <v>46029</v>
      </c>
      <c r="AA45" s="3">
        <f>DogSample3[[#This Row],[Behavioural recording start]]+5</f>
        <v>46034</v>
      </c>
      <c r="AB45" s="19">
        <v>9.35</v>
      </c>
      <c r="AC45" s="4">
        <f>DogSample3[[#This Row],[1st Blood sample]]+1</f>
        <v>46035</v>
      </c>
      <c r="AD45" s="4">
        <f>DogSample3[[#This Row],[Treatment start]]+40</f>
        <v>46075</v>
      </c>
      <c r="AE45" s="5">
        <f>DogSample3[[#This Row],[2nd Behavioural recording start]]+4</f>
        <v>46079</v>
      </c>
      <c r="AF45" s="4">
        <f>DogSample3[[#This Row],[2nd Behavioural recording start]]+5</f>
        <v>46080</v>
      </c>
      <c r="AG45" s="8">
        <v>11</v>
      </c>
      <c r="AH45" s="8">
        <v>7.59</v>
      </c>
      <c r="AI45" s="8">
        <v>7.97</v>
      </c>
      <c r="AJ45" s="8">
        <v>16.399999999999999</v>
      </c>
      <c r="AK45" s="8">
        <v>17.399999999999999</v>
      </c>
      <c r="AL45" s="8">
        <v>50.6</v>
      </c>
      <c r="AM45" s="8">
        <v>53.1</v>
      </c>
      <c r="AN45" s="8">
        <v>32.4</v>
      </c>
      <c r="AO45" s="8">
        <v>32.799999999999997</v>
      </c>
      <c r="AP45" s="11">
        <v>11.4</v>
      </c>
      <c r="AQ45" s="11">
        <v>10.7</v>
      </c>
      <c r="AR45" s="8">
        <v>6.05</v>
      </c>
      <c r="AS45" s="8">
        <v>7.69</v>
      </c>
      <c r="AT45" s="10">
        <v>67</v>
      </c>
      <c r="AU45" s="10">
        <v>73</v>
      </c>
      <c r="AV45" s="14">
        <v>27</v>
      </c>
      <c r="AW45" s="7">
        <v>21</v>
      </c>
      <c r="AX45" s="10">
        <v>4</v>
      </c>
      <c r="AY45" s="10">
        <v>5</v>
      </c>
      <c r="AZ45" s="10">
        <v>2</v>
      </c>
      <c r="BA45" s="10">
        <v>1</v>
      </c>
      <c r="BB45" s="8">
        <v>4.05</v>
      </c>
      <c r="BC45" s="8">
        <v>5.61</v>
      </c>
      <c r="BD45" s="8">
        <v>1.64</v>
      </c>
      <c r="BE45" s="8">
        <v>1.62</v>
      </c>
      <c r="BF45" s="8">
        <v>0.24</v>
      </c>
      <c r="BG45" s="8">
        <v>0.38</v>
      </c>
      <c r="BH45" s="8">
        <v>0.12</v>
      </c>
      <c r="BI45" s="8">
        <v>0.08</v>
      </c>
      <c r="BJ45" s="10">
        <v>303</v>
      </c>
      <c r="BK45" s="10">
        <v>362</v>
      </c>
      <c r="BL45" s="9">
        <v>8.9</v>
      </c>
      <c r="BM45" s="9">
        <v>8.1999999999999993</v>
      </c>
      <c r="BN45" s="8">
        <v>0.27</v>
      </c>
      <c r="BO45" s="8">
        <v>0.3</v>
      </c>
      <c r="BP45" s="10">
        <v>35</v>
      </c>
      <c r="BQ45" s="10">
        <v>37</v>
      </c>
      <c r="BR45" s="10">
        <v>34</v>
      </c>
      <c r="BS45" s="10">
        <v>41</v>
      </c>
      <c r="BT45" s="8">
        <v>0.15</v>
      </c>
      <c r="BU45" s="8">
        <v>0.13</v>
      </c>
      <c r="BV45" s="10">
        <v>27</v>
      </c>
      <c r="BW45" s="10">
        <v>27</v>
      </c>
      <c r="BX45" s="8">
        <v>0.78</v>
      </c>
      <c r="BY45" s="8">
        <v>0.63</v>
      </c>
      <c r="BZ45" s="67">
        <v>25103660</v>
      </c>
      <c r="CA45" s="4"/>
      <c r="CB45" s="12">
        <v>21</v>
      </c>
      <c r="CC45" s="12"/>
      <c r="CD45" s="17">
        <v>257.89999999999998</v>
      </c>
      <c r="CE45" s="11"/>
      <c r="CF45" s="21">
        <f t="shared" si="4"/>
        <v>8.1426909654905011E-2</v>
      </c>
      <c r="CG45" s="11" t="e">
        <f t="shared" si="4"/>
        <v>#DIV/0!</v>
      </c>
      <c r="CH45" s="63" t="s">
        <v>129</v>
      </c>
      <c r="CJ45" s="55" t="s">
        <v>101</v>
      </c>
    </row>
    <row r="46" spans="1:90" x14ac:dyDescent="0.2">
      <c r="A46" s="1" t="s">
        <v>256</v>
      </c>
      <c r="B46" s="55" t="s">
        <v>257</v>
      </c>
      <c r="C46" s="1">
        <v>20230709</v>
      </c>
      <c r="D46" s="2">
        <v>380260044751164</v>
      </c>
      <c r="E46" s="2">
        <v>1</v>
      </c>
      <c r="F46" s="1">
        <v>24</v>
      </c>
      <c r="G46" s="1">
        <v>24.5</v>
      </c>
      <c r="H46" s="1">
        <v>3</v>
      </c>
      <c r="I46" s="1">
        <v>3</v>
      </c>
      <c r="J46" s="1">
        <f>DogSample3[[#This Row],[Weight pre (kg)]]*4.5/50</f>
        <v>2.16</v>
      </c>
      <c r="K46" s="1" t="s">
        <v>92</v>
      </c>
      <c r="M46" s="3">
        <v>44315</v>
      </c>
      <c r="N46" s="3">
        <v>45046</v>
      </c>
      <c r="O46" s="55">
        <f t="shared" si="0"/>
        <v>731</v>
      </c>
      <c r="P46" s="1" t="s">
        <v>104</v>
      </c>
      <c r="Q46" s="1" t="s">
        <v>105</v>
      </c>
      <c r="R46" s="55" t="s">
        <v>106</v>
      </c>
      <c r="S46" s="4">
        <v>46047</v>
      </c>
      <c r="T46">
        <f t="shared" si="1"/>
        <v>1001</v>
      </c>
      <c r="U46" s="55" t="s">
        <v>96</v>
      </c>
      <c r="V46" s="1" t="s">
        <v>137</v>
      </c>
      <c r="W46" s="1"/>
      <c r="X46" s="3">
        <v>45104</v>
      </c>
      <c r="Y46" s="1" t="s">
        <v>139</v>
      </c>
      <c r="Z46" s="4">
        <v>46047</v>
      </c>
      <c r="AA46" s="3">
        <f>DogSample3[[#This Row],[Behavioural recording start]]+5</f>
        <v>46052</v>
      </c>
      <c r="AB46" s="19">
        <v>10.3</v>
      </c>
      <c r="AC46" s="4">
        <f>DogSample3[[#This Row],[1st Blood sample]]+1</f>
        <v>46053</v>
      </c>
      <c r="AD46" s="4">
        <f>DogSample3[[#This Row],[Treatment start]]+40</f>
        <v>46093</v>
      </c>
      <c r="AE46" s="5">
        <f>DogSample3[[#This Row],[2nd Behavioural recording start]]+4</f>
        <v>46097</v>
      </c>
      <c r="AF46" s="4">
        <f>DogSample3[[#This Row],[2nd Behavioural recording start]]+5</f>
        <v>46098</v>
      </c>
      <c r="AG46" s="8">
        <v>10.3</v>
      </c>
      <c r="AH46" s="8">
        <v>6.96</v>
      </c>
      <c r="AI46" s="8">
        <v>6.39</v>
      </c>
      <c r="AJ46" s="8">
        <v>16.3</v>
      </c>
      <c r="AK46" s="8">
        <v>14.8</v>
      </c>
      <c r="AL46" s="8">
        <v>46.1</v>
      </c>
      <c r="AM46" s="8">
        <v>42.1</v>
      </c>
      <c r="AN46" s="8">
        <v>35.4</v>
      </c>
      <c r="AO46" s="8">
        <v>35.200000000000003</v>
      </c>
      <c r="AP46" s="8">
        <v>11.5</v>
      </c>
      <c r="AQ46" s="8">
        <v>10.8</v>
      </c>
      <c r="AR46" s="8">
        <v>8.58</v>
      </c>
      <c r="AS46" s="8">
        <v>8.9700000000000006</v>
      </c>
      <c r="AT46" s="7">
        <v>75</v>
      </c>
      <c r="AU46" s="10">
        <v>75</v>
      </c>
      <c r="AV46" s="10">
        <v>20</v>
      </c>
      <c r="AW46" s="10">
        <v>20</v>
      </c>
      <c r="AX46" s="10">
        <v>4</v>
      </c>
      <c r="AY46" s="10">
        <v>4</v>
      </c>
      <c r="AZ46" s="10">
        <v>1</v>
      </c>
      <c r="BA46" s="10">
        <v>1</v>
      </c>
      <c r="BB46" s="8">
        <v>6.46</v>
      </c>
      <c r="BC46" s="8">
        <v>6.73</v>
      </c>
      <c r="BD46" s="8">
        <v>1.75</v>
      </c>
      <c r="BE46" s="8">
        <v>1.79</v>
      </c>
      <c r="BF46" s="8">
        <v>0.31</v>
      </c>
      <c r="BG46" s="8">
        <v>0.36</v>
      </c>
      <c r="BH46" s="8">
        <v>0.06</v>
      </c>
      <c r="BI46" s="66">
        <v>0.09</v>
      </c>
      <c r="BJ46" s="10">
        <v>240</v>
      </c>
      <c r="BK46" s="10">
        <v>190</v>
      </c>
      <c r="BL46" s="9">
        <v>9.4</v>
      </c>
      <c r="BM46" s="9">
        <v>9.3000000000000007</v>
      </c>
      <c r="BN46" s="8">
        <v>0.23</v>
      </c>
      <c r="BO46" s="8">
        <v>0.18</v>
      </c>
      <c r="BP46" s="10">
        <v>37</v>
      </c>
      <c r="BQ46" s="10">
        <v>36</v>
      </c>
      <c r="BR46" s="10">
        <v>45</v>
      </c>
      <c r="BS46" s="10">
        <v>33</v>
      </c>
      <c r="BT46" s="8">
        <v>0.11</v>
      </c>
      <c r="BU46" s="8">
        <v>0.14000000000000001</v>
      </c>
      <c r="BV46" s="10">
        <v>32</v>
      </c>
      <c r="BW46" s="10">
        <v>46</v>
      </c>
      <c r="BX46" s="8">
        <v>0.89</v>
      </c>
      <c r="BY46" s="8">
        <v>1.28</v>
      </c>
      <c r="BZ46" s="10">
        <v>26011003</v>
      </c>
      <c r="CA46" s="10">
        <v>26026075</v>
      </c>
      <c r="CB46" s="14" t="s">
        <v>118</v>
      </c>
      <c r="CC46" s="14">
        <v>5</v>
      </c>
      <c r="CD46" s="17">
        <v>320.7</v>
      </c>
      <c r="CE46" s="17">
        <v>283.7</v>
      </c>
      <c r="CF46" s="21" t="e">
        <f t="shared" si="4"/>
        <v>#VALUE!</v>
      </c>
      <c r="CG46" s="11">
        <f t="shared" si="4"/>
        <v>1.7624250969333805E-2</v>
      </c>
      <c r="CH46" s="63" t="s">
        <v>100</v>
      </c>
      <c r="CJ46" s="55" t="s">
        <v>101</v>
      </c>
    </row>
    <row r="47" spans="1:90" x14ac:dyDescent="0.2">
      <c r="A47" s="1" t="s">
        <v>258</v>
      </c>
      <c r="B47" s="55" t="s">
        <v>259</v>
      </c>
      <c r="C47" s="1">
        <v>20211877</v>
      </c>
      <c r="D47" s="2">
        <v>380260044607434</v>
      </c>
      <c r="E47" s="2">
        <v>0</v>
      </c>
      <c r="F47" s="1">
        <v>18.100000000000001</v>
      </c>
      <c r="G47" s="1">
        <v>18.100000000000001</v>
      </c>
      <c r="H47" s="1">
        <v>4</v>
      </c>
      <c r="I47" s="1">
        <v>4</v>
      </c>
      <c r="J47" s="56">
        <f>DogSample3[[#This Row],[Weight pre (kg)]]*4.5/50</f>
        <v>1.629</v>
      </c>
      <c r="K47" s="1" t="s">
        <v>260</v>
      </c>
      <c r="M47" s="3">
        <v>44124</v>
      </c>
      <c r="N47" s="3">
        <v>44489</v>
      </c>
      <c r="O47" s="55">
        <f t="shared" si="0"/>
        <v>365</v>
      </c>
      <c r="P47" s="1" t="s">
        <v>104</v>
      </c>
      <c r="Q47" s="1" t="s">
        <v>105</v>
      </c>
      <c r="R47" s="1" t="s">
        <v>95</v>
      </c>
      <c r="S47" s="4">
        <v>46053</v>
      </c>
      <c r="T47">
        <f t="shared" si="1"/>
        <v>1564</v>
      </c>
      <c r="U47" s="55" t="s">
        <v>96</v>
      </c>
      <c r="V47" s="1" t="s">
        <v>137</v>
      </c>
      <c r="W47" s="1"/>
      <c r="X47" s="3">
        <v>44509</v>
      </c>
      <c r="Y47" s="1" t="s">
        <v>139</v>
      </c>
      <c r="Z47" s="4">
        <v>46053</v>
      </c>
      <c r="AA47" s="3">
        <f>DogSample3[[#This Row],[Behavioural recording start]]+5</f>
        <v>46058</v>
      </c>
      <c r="AB47" s="19">
        <v>10.28</v>
      </c>
      <c r="AC47" s="4">
        <f>DogSample3[[#This Row],[1st Blood sample]]+1</f>
        <v>46059</v>
      </c>
      <c r="AD47" s="4">
        <f>DogSample3[[#This Row],[Treatment start]]+40</f>
        <v>46099</v>
      </c>
      <c r="AE47" s="5">
        <f>DogSample3[[#This Row],[2nd Behavioural recording start]]+4</f>
        <v>46103</v>
      </c>
      <c r="AF47" s="4">
        <f>DogSample3[[#This Row],[2nd Behavioural recording start]]+5</f>
        <v>46104</v>
      </c>
      <c r="AG47" s="8">
        <v>9.4</v>
      </c>
      <c r="AH47" s="8">
        <v>8.3800000000000008</v>
      </c>
      <c r="AI47" s="13">
        <v>8.58</v>
      </c>
      <c r="AJ47" s="13">
        <v>19.2</v>
      </c>
      <c r="AK47" s="13">
        <v>19.2</v>
      </c>
      <c r="AL47" s="13">
        <v>55.2</v>
      </c>
      <c r="AM47" s="13">
        <v>58.5</v>
      </c>
      <c r="AN47" s="8">
        <v>34.799999999999997</v>
      </c>
      <c r="AO47" s="8">
        <v>32.799999999999997</v>
      </c>
      <c r="AP47" s="8">
        <v>11.6</v>
      </c>
      <c r="AQ47" s="8">
        <v>11.4</v>
      </c>
      <c r="AR47" s="8">
        <v>7.84</v>
      </c>
      <c r="AS47" s="8">
        <v>8.11</v>
      </c>
      <c r="AT47" s="10">
        <v>67</v>
      </c>
      <c r="AU47" s="10">
        <v>72</v>
      </c>
      <c r="AV47" s="10">
        <v>22</v>
      </c>
      <c r="AW47" s="10">
        <v>18</v>
      </c>
      <c r="AX47" s="10">
        <v>6</v>
      </c>
      <c r="AY47" s="10">
        <v>6</v>
      </c>
      <c r="AZ47" s="10">
        <v>5</v>
      </c>
      <c r="BA47" s="10">
        <v>4</v>
      </c>
      <c r="BB47" s="8">
        <v>5.25</v>
      </c>
      <c r="BC47" s="8">
        <v>5.84</v>
      </c>
      <c r="BD47" s="8">
        <v>1.7</v>
      </c>
      <c r="BE47" s="8">
        <v>1.46</v>
      </c>
      <c r="BF47" s="8">
        <v>0.49</v>
      </c>
      <c r="BG47" s="8">
        <v>0.49</v>
      </c>
      <c r="BH47" s="8">
        <v>0.4</v>
      </c>
      <c r="BI47" s="8">
        <v>0.32</v>
      </c>
      <c r="BJ47" s="10">
        <v>183</v>
      </c>
      <c r="BK47" s="10">
        <v>219</v>
      </c>
      <c r="BL47" s="9">
        <v>10.1</v>
      </c>
      <c r="BM47" s="9">
        <v>9.6999999999999993</v>
      </c>
      <c r="BN47" s="8">
        <v>0.18</v>
      </c>
      <c r="BO47" s="8">
        <v>0.21</v>
      </c>
      <c r="BP47" s="10">
        <v>37</v>
      </c>
      <c r="BQ47" s="10">
        <v>28</v>
      </c>
      <c r="BR47" s="10">
        <v>27</v>
      </c>
      <c r="BS47" s="10">
        <v>27</v>
      </c>
      <c r="BT47" s="8">
        <v>0.13</v>
      </c>
      <c r="BU47" s="8">
        <v>0.09</v>
      </c>
      <c r="BV47" s="10">
        <v>29</v>
      </c>
      <c r="BW47" s="10">
        <v>28</v>
      </c>
      <c r="BX47" s="8">
        <v>0.89</v>
      </c>
      <c r="BY47" s="8">
        <v>0.82</v>
      </c>
      <c r="BZ47" s="10">
        <v>26013632</v>
      </c>
      <c r="CA47" s="10">
        <v>26027845</v>
      </c>
      <c r="CB47" s="7">
        <v>30</v>
      </c>
      <c r="CC47" s="14">
        <v>4</v>
      </c>
      <c r="CD47" s="17">
        <v>321.8</v>
      </c>
      <c r="CE47" s="17">
        <v>345.5</v>
      </c>
      <c r="CF47" s="21">
        <f t="shared" si="4"/>
        <v>9.3225605966438779E-2</v>
      </c>
      <c r="CG47" s="11">
        <f t="shared" si="4"/>
        <v>1.1577424023154847E-2</v>
      </c>
      <c r="CH47" s="18"/>
      <c r="CJ47" s="55" t="s">
        <v>101</v>
      </c>
    </row>
    <row r="48" spans="1:90" x14ac:dyDescent="0.2">
      <c r="A48" s="1" t="s">
        <v>261</v>
      </c>
      <c r="B48" s="55" t="s">
        <v>262</v>
      </c>
      <c r="C48" s="1">
        <v>20222406</v>
      </c>
      <c r="D48" s="2">
        <v>380260044749372</v>
      </c>
      <c r="E48" s="2">
        <v>0</v>
      </c>
      <c r="F48" s="1">
        <v>30.2</v>
      </c>
      <c r="G48" s="1">
        <v>31</v>
      </c>
      <c r="H48" s="1">
        <v>3</v>
      </c>
      <c r="I48" s="1">
        <v>4</v>
      </c>
      <c r="J48" s="56">
        <f>DogSample3[[#This Row],[Weight pre (kg)]]*4.5/50</f>
        <v>2.718</v>
      </c>
      <c r="K48" s="1" t="s">
        <v>263</v>
      </c>
      <c r="M48" s="3">
        <v>44194</v>
      </c>
      <c r="N48" s="3">
        <v>44925</v>
      </c>
      <c r="O48" s="55">
        <f t="shared" si="0"/>
        <v>731</v>
      </c>
      <c r="P48" s="1" t="s">
        <v>104</v>
      </c>
      <c r="Q48" s="1" t="s">
        <v>105</v>
      </c>
      <c r="R48" s="55" t="s">
        <v>106</v>
      </c>
      <c r="S48" s="4">
        <v>46058</v>
      </c>
      <c r="T48">
        <f t="shared" si="1"/>
        <v>1133</v>
      </c>
      <c r="U48" s="55" t="s">
        <v>96</v>
      </c>
      <c r="V48" s="1" t="s">
        <v>137</v>
      </c>
      <c r="W48" s="1"/>
      <c r="X48" s="3">
        <v>44986</v>
      </c>
      <c r="Y48" s="1" t="s">
        <v>139</v>
      </c>
      <c r="Z48" s="4">
        <v>46058</v>
      </c>
      <c r="AA48" s="3">
        <f>DogSample3[[#This Row],[Behavioural recording start]]+5</f>
        <v>46063</v>
      </c>
      <c r="AB48" s="19">
        <v>9.5</v>
      </c>
      <c r="AC48" s="4">
        <f>DogSample3[[#This Row],[1st Blood sample]]+1</f>
        <v>46064</v>
      </c>
      <c r="AD48" s="4">
        <f>DogSample3[[#This Row],[Treatment start]]+40</f>
        <v>46104</v>
      </c>
      <c r="AE48" s="5">
        <f>DogSample3[[#This Row],[2nd Behavioural recording start]]+4</f>
        <v>46108</v>
      </c>
      <c r="AF48" s="4">
        <f>DogSample3[[#This Row],[2nd Behavioural recording start]]+7</f>
        <v>46111</v>
      </c>
      <c r="AG48" s="8">
        <v>9.3000000000000007</v>
      </c>
      <c r="AH48" s="8">
        <v>7.87</v>
      </c>
      <c r="AI48" s="8">
        <v>7.81</v>
      </c>
      <c r="AJ48" s="8">
        <v>17.399999999999999</v>
      </c>
      <c r="AK48" s="13">
        <v>18.91</v>
      </c>
      <c r="AL48" s="8">
        <v>51.2</v>
      </c>
      <c r="AM48" s="8">
        <v>52.3</v>
      </c>
      <c r="AN48" s="8">
        <v>34</v>
      </c>
      <c r="AO48" s="66">
        <v>36.1</v>
      </c>
      <c r="AP48" s="8">
        <v>11.9</v>
      </c>
      <c r="AQ48" s="8">
        <v>14.1</v>
      </c>
      <c r="AR48" s="8">
        <v>10.33</v>
      </c>
      <c r="AS48" s="8">
        <v>9.77</v>
      </c>
      <c r="AT48" s="10">
        <v>70</v>
      </c>
      <c r="AU48" s="10">
        <v>55</v>
      </c>
      <c r="AV48" s="14">
        <v>26</v>
      </c>
      <c r="AW48" s="14">
        <v>32</v>
      </c>
      <c r="AX48" s="10">
        <v>3</v>
      </c>
      <c r="AY48" s="10">
        <v>6</v>
      </c>
      <c r="AZ48" s="10">
        <v>1</v>
      </c>
      <c r="BA48" s="10">
        <v>8</v>
      </c>
      <c r="BB48" s="8">
        <v>7.23</v>
      </c>
      <c r="BC48" s="8">
        <v>5.37</v>
      </c>
      <c r="BD48" s="8">
        <v>2.69</v>
      </c>
      <c r="BE48" s="8">
        <v>3.15</v>
      </c>
      <c r="BF48" s="8">
        <v>0.31</v>
      </c>
      <c r="BG48" s="8">
        <v>0.6</v>
      </c>
      <c r="BH48" s="8">
        <v>0.1</v>
      </c>
      <c r="BI48" s="13">
        <v>0.73</v>
      </c>
      <c r="BJ48" s="10">
        <v>361</v>
      </c>
      <c r="BK48" s="10">
        <v>341</v>
      </c>
      <c r="BL48" s="9">
        <v>9.9</v>
      </c>
      <c r="BM48" s="9">
        <v>10.5</v>
      </c>
      <c r="BN48" s="8">
        <v>0.36</v>
      </c>
      <c r="BO48" s="8">
        <v>0.36</v>
      </c>
      <c r="BP48" s="14">
        <v>53</v>
      </c>
      <c r="BQ48" s="14">
        <v>53</v>
      </c>
      <c r="BR48" s="10">
        <v>57</v>
      </c>
      <c r="BS48" s="10">
        <v>60</v>
      </c>
      <c r="BT48" s="8">
        <v>0.14000000000000001</v>
      </c>
      <c r="BU48" s="8">
        <v>0.09</v>
      </c>
      <c r="BV48" s="10">
        <v>40</v>
      </c>
      <c r="BW48" s="10">
        <v>39</v>
      </c>
      <c r="BX48" s="8">
        <v>1.35</v>
      </c>
      <c r="BY48" s="8">
        <v>1.38</v>
      </c>
      <c r="BZ48" s="10">
        <v>26014900</v>
      </c>
      <c r="CA48" s="10">
        <v>26030059</v>
      </c>
      <c r="CB48" s="7">
        <v>37</v>
      </c>
      <c r="CC48" s="7">
        <v>10</v>
      </c>
      <c r="CD48" s="17">
        <v>336.7</v>
      </c>
      <c r="CE48" s="17">
        <v>305.7</v>
      </c>
      <c r="CF48" s="21">
        <f t="shared" si="4"/>
        <v>0.10989010989010989</v>
      </c>
      <c r="CG48" s="11">
        <f t="shared" si="4"/>
        <v>3.271180896303566E-2</v>
      </c>
      <c r="CH48" s="18"/>
      <c r="CJ48" s="55" t="s">
        <v>101</v>
      </c>
    </row>
    <row r="49" spans="1:90" x14ac:dyDescent="0.2">
      <c r="A49" s="6" t="s">
        <v>264</v>
      </c>
      <c r="B49" s="2" t="s">
        <v>265</v>
      </c>
      <c r="C49" s="1">
        <v>20212254</v>
      </c>
      <c r="D49" s="2">
        <v>380260044579370</v>
      </c>
      <c r="E49" s="2">
        <v>0</v>
      </c>
      <c r="F49" s="1">
        <v>36.5</v>
      </c>
      <c r="G49" s="1">
        <v>34.700000000000003</v>
      </c>
      <c r="H49" s="1">
        <v>3</v>
      </c>
      <c r="I49" s="1">
        <v>3</v>
      </c>
      <c r="J49" s="56">
        <f>DogSample3[[#This Row],[Weight pre (kg)]]*4.5/50</f>
        <v>3.2850000000000001</v>
      </c>
      <c r="K49" s="1" t="s">
        <v>92</v>
      </c>
      <c r="L49" s="1"/>
      <c r="M49" s="3">
        <v>43818</v>
      </c>
      <c r="N49" s="3">
        <v>44548</v>
      </c>
      <c r="O49" s="55">
        <f t="shared" si="0"/>
        <v>730</v>
      </c>
      <c r="P49" s="1" t="s">
        <v>104</v>
      </c>
      <c r="Q49" s="1" t="s">
        <v>94</v>
      </c>
      <c r="R49" s="1" t="s">
        <v>95</v>
      </c>
      <c r="S49" s="4">
        <v>46090</v>
      </c>
      <c r="T49">
        <f t="shared" si="1"/>
        <v>1542</v>
      </c>
      <c r="U49" s="55" t="s">
        <v>96</v>
      </c>
      <c r="V49" s="1" t="s">
        <v>137</v>
      </c>
      <c r="W49" s="1"/>
      <c r="X49" s="3">
        <v>44602</v>
      </c>
      <c r="Y49" s="1" t="s">
        <v>244</v>
      </c>
      <c r="Z49" s="4">
        <v>46090</v>
      </c>
      <c r="AA49" s="3">
        <f>DogSample3[[#This Row],[Behavioural recording start]]+7</f>
        <v>46097</v>
      </c>
      <c r="AB49" s="19">
        <v>9.4499999999999993</v>
      </c>
      <c r="AC49" s="4">
        <f>DogSample3[[#This Row],[1st Blood sample]]</f>
        <v>46097</v>
      </c>
      <c r="AD49" s="4">
        <f>DogSample3[[#This Row],[Treatment start]]+40</f>
        <v>46137</v>
      </c>
      <c r="AE49" s="5">
        <f>DogSample3[[#This Row],[2nd Behavioural recording start]]+4</f>
        <v>46141</v>
      </c>
      <c r="AF49" s="4">
        <f>DogSample3[[#This Row],[2nd Behavioural recording start]]+5</f>
        <v>46142</v>
      </c>
      <c r="AG49" s="8">
        <v>9.16</v>
      </c>
      <c r="AH49" s="8">
        <v>7.29</v>
      </c>
      <c r="AI49" s="8">
        <v>7</v>
      </c>
      <c r="AJ49" s="8">
        <v>14.4</v>
      </c>
      <c r="AK49" s="8">
        <v>14.4</v>
      </c>
      <c r="AL49" s="8">
        <v>43</v>
      </c>
      <c r="AM49" s="8">
        <v>43.7</v>
      </c>
      <c r="AN49" s="8">
        <v>33.5</v>
      </c>
      <c r="AO49" s="8">
        <v>33</v>
      </c>
      <c r="AP49" s="8">
        <v>11.4</v>
      </c>
      <c r="AQ49" s="8">
        <v>14.4</v>
      </c>
      <c r="AR49" s="8">
        <v>10.51</v>
      </c>
      <c r="AS49" s="8">
        <v>5.26</v>
      </c>
      <c r="AT49" s="14">
        <v>75</v>
      </c>
      <c r="AU49" s="10">
        <v>55</v>
      </c>
      <c r="AV49" s="10">
        <v>16</v>
      </c>
      <c r="AW49" s="14">
        <v>29</v>
      </c>
      <c r="AX49" s="10">
        <v>6</v>
      </c>
      <c r="AY49" s="10">
        <v>9</v>
      </c>
      <c r="AZ49" s="10">
        <v>2</v>
      </c>
      <c r="BA49" s="10">
        <v>9</v>
      </c>
      <c r="BB49" s="8">
        <v>7.92</v>
      </c>
      <c r="BC49" s="8">
        <v>2.89</v>
      </c>
      <c r="BD49" s="8">
        <v>1.71</v>
      </c>
      <c r="BE49" s="8">
        <v>1.54</v>
      </c>
      <c r="BF49" s="8">
        <v>0.62</v>
      </c>
      <c r="BG49" s="8">
        <v>0.46</v>
      </c>
      <c r="BH49" s="8">
        <v>0.25</v>
      </c>
      <c r="BI49" s="8">
        <v>0.46</v>
      </c>
      <c r="BJ49" s="10">
        <v>237</v>
      </c>
      <c r="BK49" s="10">
        <v>281</v>
      </c>
      <c r="BL49" s="9">
        <v>12</v>
      </c>
      <c r="BM49" s="9">
        <v>8.1999999999999993</v>
      </c>
      <c r="BN49" s="8">
        <v>0.28000000000000003</v>
      </c>
      <c r="BO49" s="8">
        <v>0.23</v>
      </c>
      <c r="BP49" s="10">
        <v>26</v>
      </c>
      <c r="BQ49" s="10">
        <v>37</v>
      </c>
      <c r="BR49" s="10">
        <v>25</v>
      </c>
      <c r="BS49" s="10">
        <v>27</v>
      </c>
      <c r="BT49" s="8">
        <v>0.11</v>
      </c>
      <c r="BU49" s="8">
        <v>0.31</v>
      </c>
      <c r="BV49" s="10">
        <v>24</v>
      </c>
      <c r="BW49" s="10">
        <v>27</v>
      </c>
      <c r="BX49" s="8">
        <v>1.28</v>
      </c>
      <c r="BY49" s="8">
        <v>1.02</v>
      </c>
      <c r="BZ49" s="10">
        <v>26025637</v>
      </c>
      <c r="CA49" s="68">
        <v>26039682</v>
      </c>
      <c r="CB49" s="7">
        <v>9</v>
      </c>
      <c r="CC49" s="11"/>
      <c r="CD49" s="17">
        <v>284</v>
      </c>
      <c r="CE49" s="17">
        <v>318.10000000000002</v>
      </c>
      <c r="CF49" s="21">
        <f t="shared" si="4"/>
        <v>3.1690140845070422E-2</v>
      </c>
      <c r="CG49" s="11" t="e">
        <f>(CC49/#REF!)</f>
        <v>#REF!</v>
      </c>
      <c r="CH49" s="18"/>
      <c r="CJ49" s="6" t="s">
        <v>101</v>
      </c>
      <c r="CK49" s="55"/>
    </row>
    <row r="50" spans="1:90" x14ac:dyDescent="0.2">
      <c r="A50" s="1" t="s">
        <v>266</v>
      </c>
      <c r="B50" t="s">
        <v>267</v>
      </c>
      <c r="C50" s="1">
        <v>20200969</v>
      </c>
      <c r="D50" s="2">
        <v>380260043631603</v>
      </c>
      <c r="E50" s="2">
        <v>0</v>
      </c>
      <c r="F50" s="1">
        <v>32.35</v>
      </c>
      <c r="G50" s="1">
        <v>28</v>
      </c>
      <c r="H50" s="1">
        <v>3</v>
      </c>
      <c r="I50" s="1">
        <v>3</v>
      </c>
      <c r="J50" s="56">
        <f>DogSample3[[#This Row],[Weight pre (kg)]]*4.5/50</f>
        <v>2.9115000000000002</v>
      </c>
      <c r="K50" s="1" t="s">
        <v>92</v>
      </c>
      <c r="M50" s="3">
        <v>43658</v>
      </c>
      <c r="N50" s="3">
        <v>44023</v>
      </c>
      <c r="O50" s="55">
        <f t="shared" si="0"/>
        <v>365</v>
      </c>
      <c r="P50" s="1" t="s">
        <v>104</v>
      </c>
      <c r="Q50" s="1" t="s">
        <v>94</v>
      </c>
      <c r="R50" s="1" t="s">
        <v>95</v>
      </c>
      <c r="S50" s="4">
        <v>45999</v>
      </c>
      <c r="T50">
        <f t="shared" si="1"/>
        <v>1976</v>
      </c>
      <c r="U50" s="55" t="s">
        <v>96</v>
      </c>
      <c r="V50" s="1" t="s">
        <v>137</v>
      </c>
      <c r="W50" s="1"/>
      <c r="X50" s="3">
        <v>44057</v>
      </c>
      <c r="Y50" s="1" t="s">
        <v>139</v>
      </c>
      <c r="Z50" s="4">
        <v>45999</v>
      </c>
      <c r="AA50" s="3">
        <f>DogSample3[[#This Row],[Behavioural recording start]]+5</f>
        <v>46004</v>
      </c>
      <c r="AB50" s="65">
        <v>11.3</v>
      </c>
      <c r="AC50" s="4">
        <f>DogSample3[[#This Row],[1st Blood sample]]+1</f>
        <v>46005</v>
      </c>
      <c r="AD50" s="4">
        <f>DogSample3[[#This Row],[Treatment start]]+40</f>
        <v>46045</v>
      </c>
      <c r="AE50" s="5">
        <f>DogSample3[[#This Row],[2nd Behavioural recording start]]+4</f>
        <v>46049</v>
      </c>
      <c r="AF50" s="4">
        <f>DogSample3[[#This Row],[2nd Behavioural recording start]]+5</f>
        <v>46050</v>
      </c>
      <c r="AG50" s="8">
        <v>10.45</v>
      </c>
      <c r="AH50" s="8"/>
      <c r="AI50" s="8">
        <v>8.42</v>
      </c>
      <c r="AJ50" s="8"/>
      <c r="AK50" s="13">
        <v>18.7</v>
      </c>
      <c r="AL50" s="8"/>
      <c r="AM50" s="13">
        <v>55.3</v>
      </c>
      <c r="AN50" s="8"/>
      <c r="AO50" s="8">
        <v>33.799999999999997</v>
      </c>
      <c r="AP50" s="8"/>
      <c r="AQ50" s="8">
        <v>12.7</v>
      </c>
      <c r="AR50" s="8"/>
      <c r="AS50" s="8">
        <v>7.79</v>
      </c>
      <c r="AT50" s="8"/>
      <c r="AU50" s="10">
        <v>69</v>
      </c>
      <c r="AV50" s="10"/>
      <c r="AW50" s="10">
        <v>24</v>
      </c>
      <c r="AX50" s="10"/>
      <c r="AY50" s="10">
        <v>3</v>
      </c>
      <c r="AZ50" s="10"/>
      <c r="BA50" s="10">
        <v>3</v>
      </c>
      <c r="BB50" s="8"/>
      <c r="BC50" s="8">
        <v>5.39</v>
      </c>
      <c r="BD50" s="8"/>
      <c r="BE50" s="8">
        <v>1.9</v>
      </c>
      <c r="BF50" s="8"/>
      <c r="BG50" s="8">
        <v>0.25</v>
      </c>
      <c r="BH50" s="8"/>
      <c r="BI50" s="8">
        <v>0.25</v>
      </c>
      <c r="BJ50" s="8"/>
      <c r="BK50" s="10">
        <v>254</v>
      </c>
      <c r="BL50" s="9"/>
      <c r="BM50" s="9">
        <v>8.9</v>
      </c>
      <c r="BN50" s="8"/>
      <c r="BO50" s="8">
        <v>0.23</v>
      </c>
      <c r="BP50" s="10">
        <v>37</v>
      </c>
      <c r="BQ50" s="10">
        <v>27</v>
      </c>
      <c r="BR50" s="10">
        <v>34</v>
      </c>
      <c r="BS50" s="10">
        <v>28</v>
      </c>
      <c r="BT50" s="8">
        <v>0.23</v>
      </c>
      <c r="BU50" s="8">
        <v>0.14000000000000001</v>
      </c>
      <c r="BV50" s="10">
        <v>33</v>
      </c>
      <c r="BW50" s="10">
        <v>28</v>
      </c>
      <c r="BX50" s="8">
        <v>1.0900000000000001</v>
      </c>
      <c r="BY50" s="8">
        <v>1.26</v>
      </c>
      <c r="BZ50" s="71">
        <v>25110747</v>
      </c>
      <c r="CA50" s="10">
        <v>26010573</v>
      </c>
      <c r="CB50" s="7"/>
      <c r="CC50" s="7">
        <v>60</v>
      </c>
      <c r="CD50" s="17">
        <v>349.3</v>
      </c>
      <c r="CE50" s="17">
        <v>353.2</v>
      </c>
      <c r="CF50" s="21">
        <f t="shared" si="4"/>
        <v>0</v>
      </c>
      <c r="CG50" s="11">
        <f>(CC50/CE50)</f>
        <v>0.16987542468856173</v>
      </c>
      <c r="CH50" s="18">
        <v>0.48</v>
      </c>
      <c r="CI50" s="18">
        <v>0.39</v>
      </c>
      <c r="CJ50" s="55" t="s">
        <v>101</v>
      </c>
    </row>
    <row r="51" spans="1:90" x14ac:dyDescent="0.2">
      <c r="A51" s="1" t="s">
        <v>268</v>
      </c>
      <c r="B51" s="55" t="s">
        <v>269</v>
      </c>
      <c r="C51" s="1">
        <v>20240296</v>
      </c>
      <c r="D51" s="2">
        <v>380260044730989</v>
      </c>
      <c r="E51" s="2">
        <v>0</v>
      </c>
      <c r="F51" s="1">
        <v>25</v>
      </c>
      <c r="G51" s="1">
        <v>27.3</v>
      </c>
      <c r="H51" s="1">
        <v>3</v>
      </c>
      <c r="I51" s="1">
        <v>3</v>
      </c>
      <c r="J51" s="1">
        <f>DogSample3[[#This Row],[Weight pre (kg)]]*4.5/50</f>
        <v>2.25</v>
      </c>
      <c r="K51" s="1" t="s">
        <v>92</v>
      </c>
      <c r="M51" s="3">
        <v>44249</v>
      </c>
      <c r="N51" s="3">
        <v>45345</v>
      </c>
      <c r="O51" s="55">
        <f t="shared" si="0"/>
        <v>1096</v>
      </c>
      <c r="P51" s="1" t="s">
        <v>104</v>
      </c>
      <c r="Q51" s="1" t="s">
        <v>105</v>
      </c>
      <c r="R51" s="55" t="s">
        <v>106</v>
      </c>
      <c r="S51" s="4">
        <v>46109</v>
      </c>
      <c r="T51">
        <f t="shared" si="1"/>
        <v>764</v>
      </c>
      <c r="U51" s="55" t="s">
        <v>96</v>
      </c>
      <c r="V51" s="1" t="s">
        <v>137</v>
      </c>
      <c r="W51" s="1"/>
      <c r="X51" s="3">
        <v>45365</v>
      </c>
      <c r="Y51" s="55" t="s">
        <v>270</v>
      </c>
      <c r="Z51" s="4">
        <v>46109</v>
      </c>
      <c r="AA51" s="61">
        <f>DogSample3[[#This Row],[Behavioural recording start]]+5</f>
        <v>46114</v>
      </c>
      <c r="AB51" s="65">
        <v>10.3</v>
      </c>
      <c r="AC51" s="4">
        <f>DogSample3[[#This Row],[1st Blood sample]]+1</f>
        <v>46115</v>
      </c>
      <c r="AD51" s="4">
        <f>DogSample3[[#This Row],[Treatment start]]+40</f>
        <v>46155</v>
      </c>
      <c r="AE51" s="5">
        <f>DogSample3[[#This Row],[2nd Behavioural recording start]]+4</f>
        <v>46159</v>
      </c>
      <c r="AF51" s="4">
        <f>DogSample3[[#This Row],[2nd Behavioural recording start]]+5</f>
        <v>46160</v>
      </c>
      <c r="AG51" s="8">
        <v>9.3000000000000007</v>
      </c>
      <c r="AH51" s="8">
        <v>7.39</v>
      </c>
      <c r="AI51" s="8">
        <v>6.7</v>
      </c>
      <c r="AJ51" s="8">
        <v>17.7</v>
      </c>
      <c r="AK51" s="8">
        <v>15.7</v>
      </c>
      <c r="AL51" s="8">
        <v>50.2</v>
      </c>
      <c r="AM51" s="8">
        <v>40.4</v>
      </c>
      <c r="AN51" s="66">
        <v>35.299999999999997</v>
      </c>
      <c r="AO51" s="13">
        <v>38.909999999999997</v>
      </c>
      <c r="AP51" s="8">
        <v>13.7</v>
      </c>
      <c r="AQ51" s="8">
        <v>11.9</v>
      </c>
      <c r="AR51" s="8">
        <v>9.89</v>
      </c>
      <c r="AS51" s="8">
        <v>9.4</v>
      </c>
      <c r="AT51" s="10">
        <v>70</v>
      </c>
      <c r="AU51" s="10">
        <v>66</v>
      </c>
      <c r="AV51" s="10">
        <v>24</v>
      </c>
      <c r="AW51" s="14">
        <v>27</v>
      </c>
      <c r="AX51" s="10">
        <v>6</v>
      </c>
      <c r="AY51" s="10">
        <v>5</v>
      </c>
      <c r="AZ51" s="10">
        <v>2</v>
      </c>
      <c r="BA51" s="10">
        <v>3</v>
      </c>
      <c r="BB51" s="8">
        <v>6.92</v>
      </c>
      <c r="BC51" s="8">
        <v>6.2</v>
      </c>
      <c r="BD51" s="8">
        <v>2.39</v>
      </c>
      <c r="BE51" s="8">
        <v>2.5299999999999998</v>
      </c>
      <c r="BF51" s="8">
        <v>0.54</v>
      </c>
      <c r="BG51" s="8">
        <v>0.49</v>
      </c>
      <c r="BH51" s="8">
        <v>0.16</v>
      </c>
      <c r="BI51" s="8">
        <v>0.28999999999999998</v>
      </c>
      <c r="BJ51" s="10">
        <v>263</v>
      </c>
      <c r="BK51" s="10">
        <v>319</v>
      </c>
      <c r="BL51" s="9">
        <v>9.6999999999999993</v>
      </c>
      <c r="BM51" s="8">
        <v>9.8000000000000007</v>
      </c>
      <c r="BN51" s="8">
        <v>0.26</v>
      </c>
      <c r="BO51" s="8">
        <v>0.31</v>
      </c>
      <c r="BP51" s="14">
        <v>68</v>
      </c>
      <c r="BQ51" s="14">
        <v>73</v>
      </c>
      <c r="BR51" s="10">
        <v>42</v>
      </c>
      <c r="BS51" s="10">
        <v>47</v>
      </c>
      <c r="BT51" s="8">
        <v>0.14000000000000001</v>
      </c>
      <c r="BU51" s="8">
        <v>0.19</v>
      </c>
      <c r="BV51" s="10">
        <v>37</v>
      </c>
      <c r="BW51" s="10">
        <v>39</v>
      </c>
      <c r="BX51" s="8">
        <v>0.89</v>
      </c>
      <c r="BY51" s="8">
        <v>1.07</v>
      </c>
      <c r="BZ51" s="10">
        <v>26031317</v>
      </c>
      <c r="CA51" s="68">
        <v>26045260</v>
      </c>
      <c r="CB51" s="7">
        <v>28</v>
      </c>
      <c r="CC51" s="7"/>
      <c r="CD51" s="17">
        <v>321.7</v>
      </c>
      <c r="CE51" s="11"/>
      <c r="CF51" s="21">
        <f t="shared" si="4"/>
        <v>8.7037612682623569E-2</v>
      </c>
      <c r="CG51" s="11" t="e">
        <f>(CC51/CE51)</f>
        <v>#DIV/0!</v>
      </c>
      <c r="CH51" s="18"/>
      <c r="CJ51" s="55" t="s">
        <v>101</v>
      </c>
    </row>
    <row r="52" spans="1:90" x14ac:dyDescent="0.2">
      <c r="A52" s="6" t="s">
        <v>271</v>
      </c>
      <c r="B52" s="6" t="s">
        <v>272</v>
      </c>
      <c r="C52" s="1">
        <v>20250445</v>
      </c>
      <c r="D52" s="2">
        <v>380260170352843</v>
      </c>
      <c r="E52" s="2">
        <v>1</v>
      </c>
      <c r="F52" s="1">
        <v>31.8</v>
      </c>
      <c r="G52" s="1">
        <v>34.5</v>
      </c>
      <c r="H52" s="1">
        <v>3</v>
      </c>
      <c r="I52" s="1">
        <v>4</v>
      </c>
      <c r="J52" s="56">
        <f>DogSample3[[#This Row],[Weight pre (kg)]]*4.5/50</f>
        <v>2.8620000000000001</v>
      </c>
      <c r="K52" s="1" t="s">
        <v>273</v>
      </c>
      <c r="L52" s="64"/>
      <c r="M52" s="3">
        <v>45016</v>
      </c>
      <c r="N52" s="3">
        <v>45747</v>
      </c>
      <c r="O52" s="55">
        <f t="shared" si="0"/>
        <v>731</v>
      </c>
      <c r="P52" s="1" t="s">
        <v>104</v>
      </c>
      <c r="Q52" s="1" t="s">
        <v>94</v>
      </c>
      <c r="R52" s="1" t="s">
        <v>274</v>
      </c>
      <c r="S52" s="4">
        <v>46095</v>
      </c>
      <c r="T52">
        <f t="shared" si="1"/>
        <v>348</v>
      </c>
      <c r="U52" s="1" t="s">
        <v>96</v>
      </c>
      <c r="V52" s="1" t="s">
        <v>107</v>
      </c>
      <c r="W52" s="1" t="s">
        <v>275</v>
      </c>
      <c r="X52" s="3">
        <v>45789</v>
      </c>
      <c r="Y52" s="1" t="s">
        <v>276</v>
      </c>
      <c r="Z52" s="4">
        <v>46095</v>
      </c>
      <c r="AA52" s="3">
        <f>DogSample3[[#This Row],[Behavioural recording start]]+5</f>
        <v>46100</v>
      </c>
      <c r="AB52" s="90">
        <v>10.25</v>
      </c>
      <c r="AC52" s="4">
        <f>DogSample3[[#This Row],[1st Blood sample]]+1</f>
        <v>46101</v>
      </c>
      <c r="AD52" s="4">
        <f>DogSample3[[#This Row],[Treatment start]]+40</f>
        <v>46141</v>
      </c>
      <c r="AE52" s="5">
        <f>DogSample3[[#This Row],[2nd Behavioural recording start]]+4</f>
        <v>46145</v>
      </c>
      <c r="AF52" s="4">
        <f>DogSample3[[#This Row],[2nd Behavioural recording start]]+5</f>
        <v>46146</v>
      </c>
      <c r="AG52" s="8">
        <v>9.5</v>
      </c>
      <c r="AH52" s="8">
        <v>7.65</v>
      </c>
      <c r="AI52" s="8">
        <v>7.3</v>
      </c>
      <c r="AJ52" s="8">
        <v>16.2</v>
      </c>
      <c r="AK52" s="8">
        <v>17</v>
      </c>
      <c r="AL52" s="8">
        <v>51.2</v>
      </c>
      <c r="AM52" s="8">
        <v>49.1</v>
      </c>
      <c r="AN52" s="16">
        <v>31.6</v>
      </c>
      <c r="AO52" s="8">
        <v>34.6</v>
      </c>
      <c r="AP52" s="8">
        <v>11.8</v>
      </c>
      <c r="AQ52" s="13">
        <v>15.21</v>
      </c>
      <c r="AR52" s="8">
        <v>11.41</v>
      </c>
      <c r="AS52" s="8">
        <v>11.67</v>
      </c>
      <c r="AT52" s="10">
        <v>68</v>
      </c>
      <c r="AU52" s="10">
        <v>59</v>
      </c>
      <c r="AV52" s="10">
        <v>24</v>
      </c>
      <c r="AW52" s="14">
        <v>30</v>
      </c>
      <c r="AX52" s="10">
        <v>7</v>
      </c>
      <c r="AY52" s="10">
        <v>8</v>
      </c>
      <c r="AZ52" s="10">
        <v>1</v>
      </c>
      <c r="BA52" s="10">
        <v>4</v>
      </c>
      <c r="BB52" s="8">
        <v>7.76</v>
      </c>
      <c r="BC52" s="8">
        <v>6.89</v>
      </c>
      <c r="BD52" s="8">
        <v>2.74</v>
      </c>
      <c r="BE52" s="8">
        <v>3.55</v>
      </c>
      <c r="BF52" s="8">
        <v>0.8</v>
      </c>
      <c r="BG52" s="8">
        <v>0.9</v>
      </c>
      <c r="BH52" s="8">
        <v>0.11</v>
      </c>
      <c r="BI52" s="8">
        <v>0.5</v>
      </c>
      <c r="BJ52" s="10">
        <v>370</v>
      </c>
      <c r="BK52" s="10">
        <v>420</v>
      </c>
      <c r="BL52" s="9">
        <v>8.3000000000000007</v>
      </c>
      <c r="BM52" s="9">
        <v>8.6</v>
      </c>
      <c r="BN52" s="8">
        <v>0.31</v>
      </c>
      <c r="BO52" s="8">
        <v>0.36</v>
      </c>
      <c r="BP52" s="14">
        <v>41</v>
      </c>
      <c r="BQ52" s="14">
        <v>65</v>
      </c>
      <c r="BR52" s="10">
        <v>27</v>
      </c>
      <c r="BS52" s="10">
        <v>54</v>
      </c>
      <c r="BT52" s="8">
        <v>0.15</v>
      </c>
      <c r="BU52" s="8">
        <v>0.27</v>
      </c>
      <c r="BV52" s="10">
        <v>32</v>
      </c>
      <c r="BW52" s="10">
        <v>40</v>
      </c>
      <c r="BX52" s="8">
        <v>0.77</v>
      </c>
      <c r="BY52" s="8">
        <v>0.78</v>
      </c>
      <c r="BZ52" s="10">
        <v>26027063</v>
      </c>
      <c r="CA52" s="59">
        <v>26040582</v>
      </c>
      <c r="CB52" s="14">
        <v>13</v>
      </c>
      <c r="CC52" s="11" t="s">
        <v>316</v>
      </c>
      <c r="CD52" s="17">
        <v>415.1</v>
      </c>
      <c r="CE52" s="11"/>
      <c r="CF52" s="21">
        <f t="shared" si="4"/>
        <v>3.1317754757889664E-2</v>
      </c>
      <c r="CG52" s="11" t="e">
        <f>(CC52/CE52)</f>
        <v>#VALUE!</v>
      </c>
      <c r="CH52" s="18"/>
      <c r="CJ52" s="55" t="s">
        <v>101</v>
      </c>
      <c r="CK52" s="55"/>
    </row>
    <row r="53" spans="1:90" x14ac:dyDescent="0.2">
      <c r="A53" s="6" t="s">
        <v>277</v>
      </c>
      <c r="B53" s="6" t="s">
        <v>278</v>
      </c>
      <c r="C53" s="1">
        <v>20220264</v>
      </c>
      <c r="D53" s="2">
        <v>380260101937274</v>
      </c>
      <c r="E53" s="2">
        <v>1</v>
      </c>
      <c r="F53" s="1">
        <v>24.4</v>
      </c>
      <c r="G53" s="1">
        <v>25</v>
      </c>
      <c r="H53" s="1">
        <v>3</v>
      </c>
      <c r="I53" s="1">
        <v>3</v>
      </c>
      <c r="J53" s="56">
        <f>DogSample3[[#This Row],[Weight pre (kg)]]*4.5/50</f>
        <v>2.1959999999999997</v>
      </c>
      <c r="K53" s="1" t="s">
        <v>92</v>
      </c>
      <c r="M53" s="3">
        <v>43703</v>
      </c>
      <c r="N53" s="3">
        <v>44616</v>
      </c>
      <c r="O53" s="55">
        <f t="shared" si="0"/>
        <v>913</v>
      </c>
      <c r="P53" s="1" t="s">
        <v>104</v>
      </c>
      <c r="Q53" s="1" t="s">
        <v>105</v>
      </c>
      <c r="R53" s="55" t="s">
        <v>172</v>
      </c>
      <c r="S53" s="4">
        <v>46100</v>
      </c>
      <c r="T53">
        <f t="shared" si="1"/>
        <v>1484</v>
      </c>
      <c r="U53" s="1" t="s">
        <v>96</v>
      </c>
      <c r="V53" s="1" t="s">
        <v>107</v>
      </c>
      <c r="W53" s="1"/>
      <c r="X53" s="3" t="s">
        <v>157</v>
      </c>
      <c r="Y53" s="1" t="s">
        <v>139</v>
      </c>
      <c r="Z53" s="4">
        <v>46100</v>
      </c>
      <c r="AA53" s="3">
        <f>DogSample3[[#This Row],[Behavioural recording start]]+5</f>
        <v>46105</v>
      </c>
      <c r="AB53" s="19">
        <v>9.4</v>
      </c>
      <c r="AC53" s="4">
        <f>DogSample3[[#This Row],[1st Blood sample]]+1</f>
        <v>46106</v>
      </c>
      <c r="AD53" s="4">
        <f>DogSample3[[#This Row],[Treatment start]]+40</f>
        <v>46146</v>
      </c>
      <c r="AE53" s="5">
        <f>DogSample3[[#This Row],[2nd Behavioural recording start]]+4</f>
        <v>46150</v>
      </c>
      <c r="AF53" s="4">
        <f>DogSample3[[#This Row],[2nd Behavioural recording start]]+5</f>
        <v>46151</v>
      </c>
      <c r="AG53" s="8">
        <v>10.130000000000001</v>
      </c>
      <c r="AH53" s="8">
        <v>7.8</v>
      </c>
      <c r="AI53" s="8">
        <v>7.49</v>
      </c>
      <c r="AJ53" s="8">
        <v>15.9</v>
      </c>
      <c r="AK53" s="8">
        <v>16.399999999999999</v>
      </c>
      <c r="AL53" s="8">
        <v>47.7</v>
      </c>
      <c r="AM53" s="8">
        <v>47.4</v>
      </c>
      <c r="AN53" s="8">
        <v>33.299999999999997</v>
      </c>
      <c r="AO53" s="8">
        <v>34.6</v>
      </c>
      <c r="AP53" s="8">
        <v>12.1</v>
      </c>
      <c r="AQ53" s="8">
        <v>14.9</v>
      </c>
      <c r="AR53" s="8">
        <v>8.48</v>
      </c>
      <c r="AS53" s="8">
        <v>11.56</v>
      </c>
      <c r="AT53" s="14">
        <v>76</v>
      </c>
      <c r="AU53" s="10">
        <v>66</v>
      </c>
      <c r="AV53" s="10">
        <v>16</v>
      </c>
      <c r="AW53" s="10">
        <v>14</v>
      </c>
      <c r="AX53" s="10">
        <v>6</v>
      </c>
      <c r="AY53" s="14">
        <v>11</v>
      </c>
      <c r="AZ53" s="10">
        <v>2</v>
      </c>
      <c r="BA53" s="14">
        <v>9</v>
      </c>
      <c r="BB53" s="8">
        <v>6.44</v>
      </c>
      <c r="BC53" s="8">
        <v>7.63</v>
      </c>
      <c r="BD53" s="16">
        <v>1.36</v>
      </c>
      <c r="BE53" s="8">
        <v>1.66</v>
      </c>
      <c r="BF53" s="8">
        <v>0.51</v>
      </c>
      <c r="BG53" s="13">
        <v>1.32</v>
      </c>
      <c r="BH53" s="8">
        <v>0.17</v>
      </c>
      <c r="BI53" s="13">
        <v>1.04</v>
      </c>
      <c r="BJ53" s="10">
        <v>349</v>
      </c>
      <c r="BK53" s="10">
        <v>419</v>
      </c>
      <c r="BL53" s="9">
        <v>8.1999999999999993</v>
      </c>
      <c r="BM53" s="9">
        <v>7.9</v>
      </c>
      <c r="BN53" s="8">
        <v>0.28999999999999998</v>
      </c>
      <c r="BO53" s="8">
        <v>0.33</v>
      </c>
      <c r="BP53" s="10">
        <v>34</v>
      </c>
      <c r="BQ53" s="14">
        <v>73</v>
      </c>
      <c r="BR53" s="10">
        <v>36</v>
      </c>
      <c r="BS53" s="14">
        <v>91</v>
      </c>
      <c r="BT53" s="8">
        <v>0.13</v>
      </c>
      <c r="BU53" s="8">
        <v>0.1</v>
      </c>
      <c r="BV53" s="10">
        <v>18</v>
      </c>
      <c r="BW53" s="10">
        <v>26</v>
      </c>
      <c r="BX53" s="8">
        <v>0.96</v>
      </c>
      <c r="BY53" s="8">
        <v>1.07</v>
      </c>
      <c r="BZ53" s="10">
        <v>26028530</v>
      </c>
      <c r="CA53" s="68">
        <v>26039682</v>
      </c>
      <c r="CB53" s="7">
        <v>39</v>
      </c>
      <c r="CC53" s="7"/>
      <c r="CD53" s="17">
        <v>314.3</v>
      </c>
      <c r="CE53" s="11"/>
      <c r="CF53" s="21">
        <f t="shared" si="4"/>
        <v>0.12408526885141584</v>
      </c>
      <c r="CG53" s="11" t="e">
        <f>(CC53/CE53)</f>
        <v>#DIV/0!</v>
      </c>
      <c r="CH53" s="18"/>
      <c r="CJ53" s="55" t="s">
        <v>101</v>
      </c>
      <c r="CL53" s="55" t="s">
        <v>89</v>
      </c>
    </row>
    <row r="54" spans="1:90" x14ac:dyDescent="0.2">
      <c r="A54" s="6" t="s">
        <v>279</v>
      </c>
      <c r="B54" s="6" t="s">
        <v>280</v>
      </c>
      <c r="C54" s="1">
        <v>20232015</v>
      </c>
      <c r="D54" s="2">
        <v>380260044926839</v>
      </c>
      <c r="E54" s="2">
        <v>0</v>
      </c>
      <c r="F54" s="1">
        <v>26.3</v>
      </c>
      <c r="G54" s="1">
        <v>25.5</v>
      </c>
      <c r="H54" s="1">
        <v>3</v>
      </c>
      <c r="I54" s="1">
        <v>3</v>
      </c>
      <c r="J54" s="56">
        <f>DogSample3[[#This Row],[Weight pre (kg)]]*4.5/50</f>
        <v>2.367</v>
      </c>
      <c r="K54" s="1" t="s">
        <v>92</v>
      </c>
      <c r="M54" s="3">
        <v>44124</v>
      </c>
      <c r="N54" s="3">
        <v>45220</v>
      </c>
      <c r="O54" s="55">
        <f t="shared" si="0"/>
        <v>1096</v>
      </c>
      <c r="P54" s="1" t="s">
        <v>104</v>
      </c>
      <c r="Q54" s="1" t="s">
        <v>105</v>
      </c>
      <c r="R54" s="55" t="s">
        <v>106</v>
      </c>
      <c r="S54" s="4">
        <v>46064</v>
      </c>
      <c r="T54">
        <f t="shared" si="1"/>
        <v>844</v>
      </c>
      <c r="U54" s="1" t="s">
        <v>96</v>
      </c>
      <c r="V54" s="1" t="s">
        <v>137</v>
      </c>
      <c r="W54" s="1"/>
      <c r="X54" s="3">
        <v>45236</v>
      </c>
      <c r="Y54" s="1" t="s">
        <v>139</v>
      </c>
      <c r="Z54" s="4">
        <v>46064</v>
      </c>
      <c r="AA54" s="3">
        <f>DogSample3[[#This Row],[Behavioural recording start]]+5</f>
        <v>46069</v>
      </c>
      <c r="AB54" s="19">
        <v>10.199999999999999</v>
      </c>
      <c r="AC54" s="4">
        <f>DogSample3[[#This Row],[1st Blood sample]]+1</f>
        <v>46070</v>
      </c>
      <c r="AD54" s="4">
        <f>DogSample3[[#This Row],[Treatment start]]+40</f>
        <v>46110</v>
      </c>
      <c r="AE54" s="5">
        <f>DogSample3[[#This Row],[2nd Behavioural recording start]]+4</f>
        <v>46114</v>
      </c>
      <c r="AF54" s="4">
        <f>DogSample3[[#This Row],[2nd Behavioural recording start]]+5</f>
        <v>46115</v>
      </c>
      <c r="AG54" s="8">
        <v>10.15</v>
      </c>
      <c r="AH54" s="8">
        <v>7.83</v>
      </c>
      <c r="AI54" s="8">
        <v>7.49</v>
      </c>
      <c r="AJ54" s="8">
        <v>17.2</v>
      </c>
      <c r="AK54" s="8">
        <v>17.600000000000001</v>
      </c>
      <c r="AL54" s="8">
        <v>51.3</v>
      </c>
      <c r="AM54" s="8">
        <v>50.1</v>
      </c>
      <c r="AN54" s="8">
        <v>33.5</v>
      </c>
      <c r="AO54" s="66">
        <v>35.1</v>
      </c>
      <c r="AP54" s="8">
        <v>11.4</v>
      </c>
      <c r="AQ54" s="13">
        <v>15.31</v>
      </c>
      <c r="AR54" s="8">
        <v>7.51</v>
      </c>
      <c r="AS54" s="11">
        <v>8.81</v>
      </c>
      <c r="AT54" s="10">
        <v>55</v>
      </c>
      <c r="AU54" s="10">
        <v>65</v>
      </c>
      <c r="AV54" s="14">
        <v>36</v>
      </c>
      <c r="AW54" s="14">
        <v>27</v>
      </c>
      <c r="AX54" s="10">
        <v>3</v>
      </c>
      <c r="AY54" s="10">
        <v>6</v>
      </c>
      <c r="AZ54" s="10">
        <v>6</v>
      </c>
      <c r="BA54" s="10">
        <v>3</v>
      </c>
      <c r="BB54" s="8">
        <v>4.13</v>
      </c>
      <c r="BC54" s="8">
        <v>5.73</v>
      </c>
      <c r="BD54" s="8">
        <v>2.7</v>
      </c>
      <c r="BE54" s="8">
        <v>2.4</v>
      </c>
      <c r="BF54" s="8">
        <v>0.22</v>
      </c>
      <c r="BG54" s="8">
        <v>0.5</v>
      </c>
      <c r="BH54" s="8">
        <v>0.45</v>
      </c>
      <c r="BI54" s="8">
        <v>0.3</v>
      </c>
      <c r="BJ54" s="10">
        <v>281</v>
      </c>
      <c r="BK54" s="10">
        <v>321</v>
      </c>
      <c r="BL54" s="9">
        <v>10.1</v>
      </c>
      <c r="BM54" s="9">
        <v>10.4</v>
      </c>
      <c r="BN54" s="8">
        <v>0.28000000000000003</v>
      </c>
      <c r="BO54" s="8">
        <v>0.33</v>
      </c>
      <c r="BP54" s="10">
        <v>34</v>
      </c>
      <c r="BQ54" s="10">
        <v>28</v>
      </c>
      <c r="BR54" s="10">
        <v>51</v>
      </c>
      <c r="BS54" s="10">
        <v>43</v>
      </c>
      <c r="BT54" s="8">
        <v>0.43</v>
      </c>
      <c r="BU54" s="8">
        <v>0.11</v>
      </c>
      <c r="BV54" s="10">
        <v>26</v>
      </c>
      <c r="BW54" s="10">
        <v>31</v>
      </c>
      <c r="BX54" s="8">
        <v>1.18</v>
      </c>
      <c r="BY54" s="8">
        <v>1.21</v>
      </c>
      <c r="BZ54" s="10">
        <v>26016805</v>
      </c>
      <c r="CA54" s="10">
        <v>26031562</v>
      </c>
      <c r="CB54" s="14">
        <v>6</v>
      </c>
      <c r="CC54" s="70" t="s">
        <v>118</v>
      </c>
      <c r="CD54" s="17">
        <v>331.2</v>
      </c>
      <c r="CE54" s="11">
        <v>329.2</v>
      </c>
      <c r="CF54" s="21">
        <f t="shared" si="4"/>
        <v>1.8115942028985508E-2</v>
      </c>
      <c r="CG54" s="11">
        <f>(CB54/CD54)</f>
        <v>1.8115942028985508E-2</v>
      </c>
      <c r="CH54" s="18"/>
      <c r="CJ54" s="55" t="s">
        <v>101</v>
      </c>
      <c r="CK54" s="55"/>
      <c r="CL54" s="55" t="s">
        <v>89</v>
      </c>
    </row>
    <row r="55" spans="1:90" x14ac:dyDescent="0.2">
      <c r="A55" s="1" t="s">
        <v>281</v>
      </c>
      <c r="B55" s="55" t="s">
        <v>282</v>
      </c>
      <c r="C55" s="1">
        <v>20222226</v>
      </c>
      <c r="D55" s="2">
        <v>380260160008955</v>
      </c>
      <c r="E55" s="2">
        <v>1</v>
      </c>
      <c r="F55" s="1">
        <v>30</v>
      </c>
      <c r="G55" s="1">
        <v>28.3</v>
      </c>
      <c r="H55" s="1">
        <v>3</v>
      </c>
      <c r="I55" s="1">
        <v>3</v>
      </c>
      <c r="J55" s="56">
        <f>DogSample3[[#This Row],[Weight pre (kg)]]*4.5/50</f>
        <v>2.7</v>
      </c>
      <c r="K55" s="1" t="s">
        <v>92</v>
      </c>
      <c r="M55" s="3">
        <v>43984</v>
      </c>
      <c r="N55" s="3">
        <v>44897</v>
      </c>
      <c r="O55" s="55">
        <f t="shared" si="0"/>
        <v>913</v>
      </c>
      <c r="P55" s="1" t="s">
        <v>104</v>
      </c>
      <c r="Q55" s="1" t="s">
        <v>105</v>
      </c>
      <c r="R55" s="55" t="s">
        <v>106</v>
      </c>
      <c r="S55" s="4">
        <v>46053</v>
      </c>
      <c r="T55">
        <f t="shared" si="1"/>
        <v>1156</v>
      </c>
      <c r="U55" s="1" t="s">
        <v>96</v>
      </c>
      <c r="V55" s="1" t="s">
        <v>283</v>
      </c>
      <c r="W55" s="1"/>
      <c r="X55" s="3" t="s">
        <v>157</v>
      </c>
      <c r="Y55" s="1" t="s">
        <v>139</v>
      </c>
      <c r="Z55" s="4">
        <v>46053</v>
      </c>
      <c r="AA55" s="3">
        <f>DogSample3[[#This Row],[Behavioural recording start]]+5</f>
        <v>46058</v>
      </c>
      <c r="AB55" s="19">
        <v>10.56</v>
      </c>
      <c r="AC55" s="4">
        <f>DogSample3[[#This Row],[1st Blood sample]]+1</f>
        <v>46059</v>
      </c>
      <c r="AD55" s="4">
        <f>DogSample3[[#This Row],[Treatment start]]+40</f>
        <v>46099</v>
      </c>
      <c r="AE55" s="5">
        <f>DogSample3[[#This Row],[2nd Behavioural recording start]]+4</f>
        <v>46103</v>
      </c>
      <c r="AF55" s="4">
        <f>DogSample3[[#This Row],[2nd Behavioural recording start]]+5</f>
        <v>46104</v>
      </c>
      <c r="AG55" s="8">
        <v>10.220000000000001</v>
      </c>
      <c r="AH55" s="8">
        <v>8.02</v>
      </c>
      <c r="AI55" s="8">
        <v>7.63</v>
      </c>
      <c r="AJ55" s="8">
        <v>17.899999999999999</v>
      </c>
      <c r="AK55" s="8">
        <v>16.399999999999999</v>
      </c>
      <c r="AL55" s="8">
        <v>51.4</v>
      </c>
      <c r="AM55" s="8">
        <v>50.4</v>
      </c>
      <c r="AN55" s="8">
        <v>34.799999999999997</v>
      </c>
      <c r="AO55" s="8">
        <v>32.5</v>
      </c>
      <c r="AP55" s="8">
        <v>10.3</v>
      </c>
      <c r="AQ55" s="8">
        <v>10.9</v>
      </c>
      <c r="AR55" s="8">
        <v>10.4</v>
      </c>
      <c r="AS55" s="8">
        <v>8.1199999999999992</v>
      </c>
      <c r="AT55" s="10">
        <v>73</v>
      </c>
      <c r="AU55" s="10">
        <v>74</v>
      </c>
      <c r="AV55" s="10">
        <v>19</v>
      </c>
      <c r="AW55" s="10">
        <v>18</v>
      </c>
      <c r="AX55" s="10">
        <v>7</v>
      </c>
      <c r="AY55" s="10">
        <v>7</v>
      </c>
      <c r="AZ55" s="10">
        <v>2</v>
      </c>
      <c r="BA55" s="10">
        <v>1</v>
      </c>
      <c r="BB55" s="8">
        <v>7.56</v>
      </c>
      <c r="BC55" s="8">
        <v>6.01</v>
      </c>
      <c r="BD55" s="8">
        <v>1.98</v>
      </c>
      <c r="BE55" s="8">
        <v>1.46</v>
      </c>
      <c r="BF55" s="8">
        <v>0.71</v>
      </c>
      <c r="BG55" s="8">
        <v>0.56999999999999995</v>
      </c>
      <c r="BH55" s="8">
        <v>0.16</v>
      </c>
      <c r="BI55" s="8">
        <v>0.08</v>
      </c>
      <c r="BJ55" s="10">
        <v>247</v>
      </c>
      <c r="BK55" s="10">
        <v>194</v>
      </c>
      <c r="BL55" s="9">
        <v>10.1</v>
      </c>
      <c r="BM55" s="9">
        <v>9.8000000000000007</v>
      </c>
      <c r="BN55" s="8">
        <v>0.25</v>
      </c>
      <c r="BO55" s="8">
        <v>0.19</v>
      </c>
      <c r="BP55" s="10">
        <v>30</v>
      </c>
      <c r="BQ55" s="10">
        <v>24</v>
      </c>
      <c r="BR55" s="14">
        <v>128</v>
      </c>
      <c r="BS55" s="14">
        <v>79</v>
      </c>
      <c r="BT55" s="8">
        <v>0.15</v>
      </c>
      <c r="BU55" s="8">
        <v>0.12</v>
      </c>
      <c r="BV55" s="10">
        <v>31</v>
      </c>
      <c r="BW55" s="10">
        <v>24</v>
      </c>
      <c r="BX55" s="8">
        <v>0.88</v>
      </c>
      <c r="BY55" s="16">
        <v>0.54</v>
      </c>
      <c r="BZ55" s="10">
        <v>26013632</v>
      </c>
      <c r="CA55" s="10">
        <v>26027845</v>
      </c>
      <c r="CB55" s="7">
        <v>24</v>
      </c>
      <c r="CC55" s="7">
        <v>22</v>
      </c>
      <c r="CD55" s="17">
        <v>358.6</v>
      </c>
      <c r="CE55" s="17">
        <v>353.8</v>
      </c>
      <c r="CF55" s="21">
        <f t="shared" ref="CF55:CF62" si="5">(CB55/CD55)</f>
        <v>6.6926938092582267E-2</v>
      </c>
      <c r="CG55" s="11">
        <f>(CC55/CE55)</f>
        <v>6.2182023742227248E-2</v>
      </c>
      <c r="CH55" s="18"/>
      <c r="CJ55" s="55" t="s">
        <v>101</v>
      </c>
    </row>
    <row r="56" spans="1:90" x14ac:dyDescent="0.2">
      <c r="A56" s="1" t="s">
        <v>284</v>
      </c>
      <c r="B56" s="2" t="s">
        <v>285</v>
      </c>
      <c r="C56" s="1">
        <v>20241623</v>
      </c>
      <c r="D56" s="2">
        <v>380260170343505</v>
      </c>
      <c r="E56" s="2">
        <v>0</v>
      </c>
      <c r="F56" s="1">
        <v>31.4</v>
      </c>
      <c r="G56" s="1">
        <v>31.5</v>
      </c>
      <c r="H56" s="1">
        <v>3</v>
      </c>
      <c r="I56" s="1">
        <v>3</v>
      </c>
      <c r="J56" s="56">
        <f>DogSample3[[#This Row],[Weight pre (kg)]]*4.5/50</f>
        <v>2.8259999999999996</v>
      </c>
      <c r="K56" s="1" t="s">
        <v>286</v>
      </c>
      <c r="L56" s="64"/>
      <c r="M56" s="3">
        <v>44815</v>
      </c>
      <c r="N56" s="3">
        <v>45546</v>
      </c>
      <c r="O56">
        <f t="shared" si="0"/>
        <v>731</v>
      </c>
      <c r="P56" s="1" t="s">
        <v>104</v>
      </c>
      <c r="Q56" s="1" t="s">
        <v>94</v>
      </c>
      <c r="R56" s="1" t="s">
        <v>106</v>
      </c>
      <c r="S56" s="3">
        <v>46047</v>
      </c>
      <c r="T56">
        <f t="shared" si="1"/>
        <v>501</v>
      </c>
      <c r="U56" s="1" t="s">
        <v>96</v>
      </c>
      <c r="V56" s="1" t="s">
        <v>221</v>
      </c>
      <c r="W56" s="1"/>
      <c r="X56" s="3">
        <v>45603</v>
      </c>
      <c r="Y56" s="55" t="s">
        <v>139</v>
      </c>
      <c r="Z56" s="3">
        <v>46047</v>
      </c>
      <c r="AA56" s="4">
        <f>DogSample3[[#This Row],[Behavioural recording start]]+5</f>
        <v>46052</v>
      </c>
      <c r="AB56" s="81">
        <v>9.5</v>
      </c>
      <c r="AC56" s="4">
        <f>DogSample3[[#This Row],[1st Blood sample]]+1</f>
        <v>46053</v>
      </c>
      <c r="AD56" s="4">
        <f>DogSample3[[#This Row],[Treatment start]]+40</f>
        <v>46093</v>
      </c>
      <c r="AE56" s="5">
        <f>DogSample3[[#This Row],[2nd Behavioural recording start]]+4</f>
        <v>46097</v>
      </c>
      <c r="AF56" s="4">
        <f>DogSample3[[#This Row],[2nd Behavioural recording start]]+5</f>
        <v>46098</v>
      </c>
      <c r="AG56" s="8">
        <v>10.25</v>
      </c>
      <c r="AH56" s="8">
        <v>7.61</v>
      </c>
      <c r="AI56" s="8">
        <v>7.02</v>
      </c>
      <c r="AJ56" s="8">
        <v>17.100000000000001</v>
      </c>
      <c r="AK56" s="8">
        <v>15.7</v>
      </c>
      <c r="AL56" s="8">
        <v>50</v>
      </c>
      <c r="AM56" s="8">
        <v>46.1</v>
      </c>
      <c r="AN56" s="11">
        <v>34.200000000000003</v>
      </c>
      <c r="AO56" s="8">
        <v>34.1</v>
      </c>
      <c r="AP56" s="8">
        <v>11.9</v>
      </c>
      <c r="AQ56" s="8">
        <v>12.1</v>
      </c>
      <c r="AR56" s="8">
        <v>6.75</v>
      </c>
      <c r="AS56" s="8">
        <v>6</v>
      </c>
      <c r="AT56" s="14">
        <v>79</v>
      </c>
      <c r="AU56" s="10">
        <v>75</v>
      </c>
      <c r="AV56" s="10">
        <v>13</v>
      </c>
      <c r="AW56" s="10">
        <v>16</v>
      </c>
      <c r="AX56" s="10">
        <v>5</v>
      </c>
      <c r="AY56" s="10">
        <v>6</v>
      </c>
      <c r="AZ56" s="10">
        <v>2</v>
      </c>
      <c r="BA56" s="10">
        <v>3</v>
      </c>
      <c r="BB56" s="8">
        <v>5.36</v>
      </c>
      <c r="BC56" s="8">
        <v>4.5</v>
      </c>
      <c r="BD56" s="16">
        <v>0.88</v>
      </c>
      <c r="BE56" s="16">
        <v>0.96</v>
      </c>
      <c r="BF56" s="8">
        <v>0.36</v>
      </c>
      <c r="BG56" s="8">
        <v>0.36</v>
      </c>
      <c r="BH56" s="8">
        <v>0.14000000000000001</v>
      </c>
      <c r="BI56" s="8">
        <v>0.18</v>
      </c>
      <c r="BJ56" s="10">
        <v>313</v>
      </c>
      <c r="BK56" s="10">
        <v>318</v>
      </c>
      <c r="BL56" s="9">
        <v>9</v>
      </c>
      <c r="BM56" s="9">
        <v>8.8000000000000007</v>
      </c>
      <c r="BN56" s="8">
        <v>0.28000000000000003</v>
      </c>
      <c r="BO56" s="8">
        <v>0.28000000000000003</v>
      </c>
      <c r="BP56" s="10">
        <v>40</v>
      </c>
      <c r="BQ56" s="10">
        <v>31</v>
      </c>
      <c r="BR56" s="10">
        <v>36</v>
      </c>
      <c r="BS56" s="10">
        <v>23</v>
      </c>
      <c r="BT56" s="8">
        <v>0.1</v>
      </c>
      <c r="BU56" s="8">
        <v>0.12</v>
      </c>
      <c r="BV56" s="10">
        <v>26</v>
      </c>
      <c r="BW56" s="10">
        <v>37</v>
      </c>
      <c r="BX56" s="8">
        <v>1.1299999999999999</v>
      </c>
      <c r="BY56" s="8">
        <v>1.27</v>
      </c>
      <c r="BZ56" s="7">
        <v>26011298</v>
      </c>
      <c r="CA56" s="10">
        <v>26026075</v>
      </c>
      <c r="CB56" s="7">
        <v>50</v>
      </c>
      <c r="CC56" s="14">
        <v>1</v>
      </c>
      <c r="CD56" s="17">
        <v>344.2</v>
      </c>
      <c r="CE56" s="17">
        <v>200.8</v>
      </c>
      <c r="CF56" s="21">
        <f t="shared" si="5"/>
        <v>0.14526438117373622</v>
      </c>
      <c r="CG56" s="11">
        <f>(CC56/CE56)</f>
        <v>4.9800796812749003E-3</v>
      </c>
      <c r="CH56" s="18"/>
      <c r="CJ56" s="55" t="s">
        <v>133</v>
      </c>
    </row>
    <row r="57" spans="1:90" x14ac:dyDescent="0.2">
      <c r="A57" s="1" t="s">
        <v>287</v>
      </c>
      <c r="B57" s="6" t="s">
        <v>288</v>
      </c>
      <c r="C57" s="1">
        <v>20240244</v>
      </c>
      <c r="D57" s="2">
        <v>380260044998450</v>
      </c>
      <c r="E57" s="2">
        <v>0</v>
      </c>
      <c r="F57" s="1">
        <v>37.1</v>
      </c>
      <c r="G57" s="1">
        <v>37.5</v>
      </c>
      <c r="H57" s="1">
        <v>3</v>
      </c>
      <c r="I57" s="1">
        <v>3</v>
      </c>
      <c r="J57" s="56">
        <f>DogSample3[[#This Row],[Weight pre (kg)]]*4.5/50</f>
        <v>3.3390000000000004</v>
      </c>
      <c r="K57" s="1" t="s">
        <v>92</v>
      </c>
      <c r="M57" s="3">
        <v>43876</v>
      </c>
      <c r="N57" s="3">
        <v>45337</v>
      </c>
      <c r="O57" s="55">
        <f t="shared" si="0"/>
        <v>1461</v>
      </c>
      <c r="P57" s="1" t="s">
        <v>104</v>
      </c>
      <c r="Q57" s="1" t="s">
        <v>94</v>
      </c>
      <c r="R57" s="1" t="s">
        <v>95</v>
      </c>
      <c r="S57" s="4">
        <v>46105</v>
      </c>
      <c r="T57">
        <f t="shared" si="1"/>
        <v>768</v>
      </c>
      <c r="U57" s="1" t="s">
        <v>96</v>
      </c>
      <c r="V57" s="1" t="s">
        <v>137</v>
      </c>
      <c r="W57" s="1"/>
      <c r="X57" s="3">
        <v>45390</v>
      </c>
      <c r="Y57" s="1" t="s">
        <v>139</v>
      </c>
      <c r="Z57" s="4">
        <v>46105</v>
      </c>
      <c r="AA57" s="4">
        <f>DogSample3[[#This Row],[Behavioural recording start]]+5</f>
        <v>46110</v>
      </c>
      <c r="AB57" s="19">
        <v>9.5500000000000007</v>
      </c>
      <c r="AC57" s="4">
        <f>DogSample3[[#This Row],[1st Blood sample]]+3</f>
        <v>46113</v>
      </c>
      <c r="AD57" s="4">
        <f>DogSample3[[#This Row],[Treatment start]]+40</f>
        <v>46153</v>
      </c>
      <c r="AE57" s="5">
        <f>DogSample3[[#This Row],[2nd Behavioural recording start]]+4</f>
        <v>46157</v>
      </c>
      <c r="AF57" s="4">
        <f>DogSample3[[#This Row],[2nd Behavioural recording start]]+5</f>
        <v>46158</v>
      </c>
      <c r="AG57" s="8">
        <v>10.15</v>
      </c>
      <c r="AH57" s="8">
        <v>8.3000000000000007</v>
      </c>
      <c r="AI57" s="8">
        <v>8.1199999999999992</v>
      </c>
      <c r="AJ57" s="13">
        <v>19.510000000000002</v>
      </c>
      <c r="AK57" s="13">
        <v>18.71</v>
      </c>
      <c r="AL57" s="13">
        <v>55.41</v>
      </c>
      <c r="AM57" s="8">
        <v>54</v>
      </c>
      <c r="AN57" s="66">
        <v>35.200000000000003</v>
      </c>
      <c r="AO57" s="8">
        <v>34.6</v>
      </c>
      <c r="AP57" s="13">
        <v>16.010000000000002</v>
      </c>
      <c r="AQ57" s="13">
        <v>15.41</v>
      </c>
      <c r="AR57" s="8">
        <v>7.35</v>
      </c>
      <c r="AS57" s="8">
        <v>9.0399999999999991</v>
      </c>
      <c r="AT57" s="10">
        <v>55</v>
      </c>
      <c r="AU57" s="10">
        <v>61</v>
      </c>
      <c r="AV57" s="14">
        <v>32</v>
      </c>
      <c r="AW57" s="14">
        <v>27</v>
      </c>
      <c r="AX57" s="10">
        <v>8</v>
      </c>
      <c r="AY57" s="10">
        <v>8</v>
      </c>
      <c r="AZ57" s="10">
        <v>6</v>
      </c>
      <c r="BA57" s="10">
        <v>5</v>
      </c>
      <c r="BB57" s="8">
        <v>4.04</v>
      </c>
      <c r="BC57" s="8">
        <v>5.51</v>
      </c>
      <c r="BD57" s="8">
        <v>2.37</v>
      </c>
      <c r="BE57" s="8">
        <v>2.44</v>
      </c>
      <c r="BF57" s="8">
        <v>0.56000000000000005</v>
      </c>
      <c r="BG57" s="8">
        <v>0.71</v>
      </c>
      <c r="BH57" s="8">
        <v>0.44</v>
      </c>
      <c r="BI57" s="8">
        <v>0.47</v>
      </c>
      <c r="BJ57" s="10">
        <v>284</v>
      </c>
      <c r="BK57" s="10">
        <v>272</v>
      </c>
      <c r="BL57" s="9">
        <v>8.9</v>
      </c>
      <c r="BM57" s="9">
        <v>8.6</v>
      </c>
      <c r="BN57" s="8">
        <v>0.25</v>
      </c>
      <c r="BO57" s="8">
        <v>0.23</v>
      </c>
      <c r="BP57" s="14">
        <v>45</v>
      </c>
      <c r="BQ57" s="14">
        <v>42</v>
      </c>
      <c r="BR57" s="10">
        <v>36</v>
      </c>
      <c r="BS57" s="10">
        <v>34</v>
      </c>
      <c r="BT57" s="8">
        <v>0.12</v>
      </c>
      <c r="BU57" s="8">
        <v>0.23</v>
      </c>
      <c r="BV57" s="10">
        <v>27</v>
      </c>
      <c r="BW57" s="10">
        <v>31</v>
      </c>
      <c r="BX57" s="8">
        <v>0.97</v>
      </c>
      <c r="BY57" s="8">
        <v>1.1200000000000001</v>
      </c>
      <c r="BZ57" s="10">
        <v>26030483</v>
      </c>
      <c r="CA57" s="68">
        <v>26045260</v>
      </c>
      <c r="CB57" s="7">
        <v>25</v>
      </c>
      <c r="CC57" s="11"/>
      <c r="CD57" s="17">
        <v>313.5</v>
      </c>
      <c r="CE57" s="11"/>
      <c r="CF57" s="11">
        <f t="shared" si="5"/>
        <v>7.9744816586921854E-2</v>
      </c>
      <c r="CG57" s="11" t="e">
        <f>(CD57/CE57)</f>
        <v>#DIV/0!</v>
      </c>
      <c r="CH57" s="18"/>
      <c r="CJ57" s="55" t="s">
        <v>101</v>
      </c>
    </row>
    <row r="58" spans="1:90" x14ac:dyDescent="0.2">
      <c r="A58" s="1" t="s">
        <v>289</v>
      </c>
      <c r="B58" s="55" t="s">
        <v>290</v>
      </c>
      <c r="C58" s="1">
        <v>20250742</v>
      </c>
      <c r="D58" s="2">
        <v>380260170352036</v>
      </c>
      <c r="E58" s="2">
        <v>1</v>
      </c>
      <c r="F58" s="1">
        <v>30.3</v>
      </c>
      <c r="G58" s="1">
        <v>28.4</v>
      </c>
      <c r="H58" s="1">
        <v>3</v>
      </c>
      <c r="I58" s="1">
        <v>3</v>
      </c>
      <c r="J58" s="56">
        <f>DogSample3[[#This Row],[Weight pre (kg)]]*4.5/50</f>
        <v>2.7269999999999999</v>
      </c>
      <c r="K58" s="1" t="s">
        <v>92</v>
      </c>
      <c r="L58" s="58"/>
      <c r="M58" s="3">
        <v>43977</v>
      </c>
      <c r="N58" s="3">
        <v>45803</v>
      </c>
      <c r="O58" s="55">
        <f t="shared" si="0"/>
        <v>1826</v>
      </c>
      <c r="P58" s="1" t="s">
        <v>104</v>
      </c>
      <c r="Q58" s="1" t="s">
        <v>94</v>
      </c>
      <c r="R58" s="1" t="s">
        <v>95</v>
      </c>
      <c r="S58" s="72">
        <v>46133</v>
      </c>
      <c r="T58">
        <f t="shared" si="1"/>
        <v>330</v>
      </c>
      <c r="U58" s="1" t="s">
        <v>96</v>
      </c>
      <c r="V58" s="1" t="s">
        <v>137</v>
      </c>
      <c r="W58" s="1"/>
      <c r="X58" s="3">
        <v>45852</v>
      </c>
      <c r="Y58" s="1" t="s">
        <v>291</v>
      </c>
      <c r="Z58" s="72">
        <v>46133</v>
      </c>
      <c r="AA58" s="3">
        <f>DogSample3[[#This Row],[Behavioural recording start]]+6</f>
        <v>46139</v>
      </c>
      <c r="AB58" s="19">
        <v>9.52</v>
      </c>
      <c r="AC58" s="4">
        <f>DogSample3[[#This Row],[1st Blood sample]]+1</f>
        <v>46140</v>
      </c>
      <c r="AD58" s="4">
        <f>DogSample3[[#This Row],[Treatment start]]+40</f>
        <v>46180</v>
      </c>
      <c r="AE58" s="5">
        <f>DogSample3[[#This Row],[2nd Behavioural recording start]]+4</f>
        <v>46184</v>
      </c>
      <c r="AF58" s="4">
        <f>DogSample3[[#This Row],[2nd Behavioural recording start]]+5</f>
        <v>46185</v>
      </c>
      <c r="AG58" s="8">
        <v>9.36</v>
      </c>
      <c r="AH58" s="8">
        <v>6.98</v>
      </c>
      <c r="AI58" s="8">
        <v>6.42</v>
      </c>
      <c r="AJ58" s="8">
        <v>16.8</v>
      </c>
      <c r="AK58" s="8">
        <v>15.5</v>
      </c>
      <c r="AL58" s="8">
        <v>46.9</v>
      </c>
      <c r="AM58" s="8">
        <v>42.3</v>
      </c>
      <c r="AN58" s="8">
        <v>35.799999999999997</v>
      </c>
      <c r="AO58" s="8">
        <v>36.6</v>
      </c>
      <c r="AP58" s="8">
        <v>11.9</v>
      </c>
      <c r="AQ58" s="8">
        <v>12.3</v>
      </c>
      <c r="AR58" s="8">
        <v>7.81</v>
      </c>
      <c r="AS58" s="8">
        <v>8.68</v>
      </c>
      <c r="AT58" s="15">
        <v>54</v>
      </c>
      <c r="AU58" s="10">
        <v>58</v>
      </c>
      <c r="AV58" s="14">
        <v>30</v>
      </c>
      <c r="AW58" s="14">
        <v>31</v>
      </c>
      <c r="AX58" s="10">
        <v>11</v>
      </c>
      <c r="AY58" s="10">
        <v>6</v>
      </c>
      <c r="AZ58" s="10">
        <v>8</v>
      </c>
      <c r="BA58" s="10">
        <v>7</v>
      </c>
      <c r="BB58" s="8">
        <v>4.22</v>
      </c>
      <c r="BC58" s="8">
        <v>5.03</v>
      </c>
      <c r="BD58" s="8">
        <v>2.3199999999999998</v>
      </c>
      <c r="BE58" s="8">
        <v>2.67</v>
      </c>
      <c r="BF58" s="8">
        <v>0.85</v>
      </c>
      <c r="BG58" s="8">
        <v>0.52</v>
      </c>
      <c r="BH58" s="8">
        <v>0.59</v>
      </c>
      <c r="BI58" s="8">
        <v>0.6</v>
      </c>
      <c r="BJ58" s="10">
        <v>308</v>
      </c>
      <c r="BK58" s="10">
        <v>432</v>
      </c>
      <c r="BL58" s="9">
        <v>9.3000000000000007</v>
      </c>
      <c r="BM58" s="8">
        <v>9.3000000000000007</v>
      </c>
      <c r="BN58" s="8">
        <v>0.28999999999999998</v>
      </c>
      <c r="BO58" s="8">
        <v>0.4</v>
      </c>
      <c r="BP58" s="10">
        <v>37</v>
      </c>
      <c r="BQ58" s="14">
        <v>53</v>
      </c>
      <c r="BR58" s="10">
        <v>41</v>
      </c>
      <c r="BS58" s="10">
        <v>38</v>
      </c>
      <c r="BT58" s="8">
        <v>0.08</v>
      </c>
      <c r="BU58" s="8">
        <v>0.22</v>
      </c>
      <c r="BV58" s="10">
        <v>16</v>
      </c>
      <c r="BW58" s="10">
        <v>17</v>
      </c>
      <c r="BX58" s="8">
        <v>0.84</v>
      </c>
      <c r="BY58" s="8">
        <v>1.04</v>
      </c>
      <c r="BZ58" s="7">
        <v>26038240</v>
      </c>
      <c r="CA58" s="4"/>
      <c r="CB58" s="7">
        <v>52</v>
      </c>
      <c r="CC58" s="7"/>
      <c r="CD58" s="17">
        <v>371.9</v>
      </c>
      <c r="CE58" s="11"/>
      <c r="CF58" s="21">
        <f t="shared" si="5"/>
        <v>0.1398225329389621</v>
      </c>
      <c r="CG58" s="11" t="e">
        <f>(CC58/CE58)</f>
        <v>#DIV/0!</v>
      </c>
      <c r="CH58" s="18"/>
      <c r="CJ58" s="55" t="s">
        <v>101</v>
      </c>
    </row>
    <row r="59" spans="1:90" x14ac:dyDescent="0.2">
      <c r="A59" s="1" t="s">
        <v>292</v>
      </c>
      <c r="B59" s="55" t="s">
        <v>293</v>
      </c>
      <c r="C59" s="1">
        <v>20251802</v>
      </c>
      <c r="D59" s="2">
        <v>380260170353036</v>
      </c>
      <c r="E59" s="2">
        <v>1</v>
      </c>
      <c r="F59" s="1">
        <v>20</v>
      </c>
      <c r="G59" s="1">
        <v>21.4</v>
      </c>
      <c r="H59" s="91">
        <v>0.66666666666666663</v>
      </c>
      <c r="I59" s="1">
        <v>3</v>
      </c>
      <c r="J59" s="56">
        <f>DogSample3[[#This Row],[Weight pre (kg)]]*4.5/50</f>
        <v>1.8</v>
      </c>
      <c r="K59" s="1" t="s">
        <v>92</v>
      </c>
      <c r="L59" s="6" t="s">
        <v>294</v>
      </c>
      <c r="M59" s="3">
        <v>43050</v>
      </c>
      <c r="N59" s="3">
        <v>45972</v>
      </c>
      <c r="O59" s="55">
        <f t="shared" si="0"/>
        <v>2922</v>
      </c>
      <c r="P59" s="1" t="s">
        <v>104</v>
      </c>
      <c r="Q59" s="1" t="s">
        <v>94</v>
      </c>
      <c r="R59" s="1" t="s">
        <v>95</v>
      </c>
      <c r="S59" s="4">
        <v>46127</v>
      </c>
      <c r="T59">
        <f t="shared" si="1"/>
        <v>155</v>
      </c>
      <c r="U59" s="1" t="s">
        <v>96</v>
      </c>
      <c r="V59" s="1" t="s">
        <v>137</v>
      </c>
      <c r="W59" s="1" t="s">
        <v>295</v>
      </c>
      <c r="X59" s="3">
        <v>46048</v>
      </c>
      <c r="Y59" s="1" t="s">
        <v>139</v>
      </c>
      <c r="Z59" s="4">
        <v>46127</v>
      </c>
      <c r="AA59" s="3">
        <f>DogSample3[[#This Row],[Behavioural recording start]]+5</f>
        <v>46132</v>
      </c>
      <c r="AB59" s="19">
        <v>11.1</v>
      </c>
      <c r="AC59" s="4">
        <f>DogSample3[[#This Row],[1st Blood sample]]+1</f>
        <v>46133</v>
      </c>
      <c r="AD59" s="4">
        <f>DogSample3[[#This Row],[Treatment start]]+40</f>
        <v>46173</v>
      </c>
      <c r="AE59" s="5">
        <f>DogSample3[[#This Row],[2nd Behavioural recording start]]+4</f>
        <v>46177</v>
      </c>
      <c r="AF59" s="4">
        <f>DogSample3[[#This Row],[2nd Behavioural recording start]]+5</f>
        <v>46178</v>
      </c>
      <c r="AG59" s="8">
        <v>10.25</v>
      </c>
      <c r="AH59" s="8">
        <v>5.96</v>
      </c>
      <c r="AI59" s="8">
        <v>5.77</v>
      </c>
      <c r="AJ59" s="8">
        <v>15.1</v>
      </c>
      <c r="AK59" s="8">
        <v>14.8</v>
      </c>
      <c r="AL59" s="8">
        <v>43.3</v>
      </c>
      <c r="AM59" s="8">
        <v>44.7</v>
      </c>
      <c r="AN59" s="8">
        <v>34.9</v>
      </c>
      <c r="AO59" s="8">
        <v>33.1</v>
      </c>
      <c r="AP59" s="8">
        <v>12.7</v>
      </c>
      <c r="AQ59" s="8">
        <v>13.1</v>
      </c>
      <c r="AR59" s="8">
        <v>9.39</v>
      </c>
      <c r="AS59" s="8">
        <v>7.97</v>
      </c>
      <c r="AT59" s="10">
        <v>74</v>
      </c>
      <c r="AU59" s="10">
        <v>70</v>
      </c>
      <c r="AV59" s="10">
        <v>20</v>
      </c>
      <c r="AW59" s="10">
        <v>22</v>
      </c>
      <c r="AX59" s="10">
        <v>5</v>
      </c>
      <c r="AY59" s="10">
        <v>5</v>
      </c>
      <c r="AZ59" s="10">
        <v>3</v>
      </c>
      <c r="BA59" s="10">
        <v>4</v>
      </c>
      <c r="BB59" s="8">
        <v>6.95</v>
      </c>
      <c r="BC59" s="8">
        <v>5.57</v>
      </c>
      <c r="BD59" s="8">
        <v>1.86</v>
      </c>
      <c r="BE59" s="8">
        <v>1.75</v>
      </c>
      <c r="BF59" s="8">
        <v>0.49</v>
      </c>
      <c r="BG59" s="8">
        <v>0.43</v>
      </c>
      <c r="BH59" s="8">
        <v>0.26</v>
      </c>
      <c r="BI59" s="8">
        <v>0.34</v>
      </c>
      <c r="BJ59" s="10">
        <v>244</v>
      </c>
      <c r="BK59" s="10">
        <v>148</v>
      </c>
      <c r="BL59" s="8">
        <v>10.8</v>
      </c>
      <c r="BM59" s="8">
        <v>12.34</v>
      </c>
      <c r="BN59" s="8">
        <v>0.26</v>
      </c>
      <c r="BO59" s="8">
        <v>0.18</v>
      </c>
      <c r="BP59" s="10">
        <v>39</v>
      </c>
      <c r="BQ59" s="14">
        <v>48</v>
      </c>
      <c r="BR59" s="10">
        <v>39</v>
      </c>
      <c r="BS59" s="10">
        <v>42</v>
      </c>
      <c r="BT59" s="8">
        <v>0.08</v>
      </c>
      <c r="BU59" s="8">
        <v>0.15</v>
      </c>
      <c r="BV59" s="10">
        <v>39</v>
      </c>
      <c r="BW59" s="10">
        <v>37</v>
      </c>
      <c r="BX59" s="8">
        <v>0.86</v>
      </c>
      <c r="BY59" s="8">
        <v>0.99</v>
      </c>
      <c r="BZ59" s="10">
        <v>26036025</v>
      </c>
      <c r="CA59" s="4"/>
      <c r="CB59" s="7">
        <v>45</v>
      </c>
      <c r="CC59" s="7"/>
      <c r="CD59" s="17">
        <v>366.5</v>
      </c>
      <c r="CE59" s="11"/>
      <c r="CF59" s="21">
        <f t="shared" si="5"/>
        <v>0.12278308321964529</v>
      </c>
      <c r="CG59" s="11" t="e">
        <f>(CC59/CE59)</f>
        <v>#DIV/0!</v>
      </c>
      <c r="CH59" s="18"/>
      <c r="CJ59" s="55" t="s">
        <v>101</v>
      </c>
    </row>
    <row r="60" spans="1:90" x14ac:dyDescent="0.2">
      <c r="A60" s="1" t="s">
        <v>296</v>
      </c>
      <c r="B60" s="55" t="s">
        <v>297</v>
      </c>
      <c r="C60" s="1">
        <v>20251496</v>
      </c>
      <c r="D60" s="2">
        <v>380260170352099</v>
      </c>
      <c r="E60" s="2">
        <v>0</v>
      </c>
      <c r="F60" s="82">
        <v>27.3</v>
      </c>
      <c r="G60" s="1">
        <v>23</v>
      </c>
      <c r="H60" s="1">
        <v>3</v>
      </c>
      <c r="I60" s="1">
        <v>2</v>
      </c>
      <c r="J60" s="56">
        <f>DogSample3[[#This Row],[Weight pre (kg)]]*4.5/50</f>
        <v>2.4570000000000003</v>
      </c>
      <c r="K60" s="1" t="s">
        <v>92</v>
      </c>
      <c r="L60" s="58" t="s">
        <v>298</v>
      </c>
      <c r="M60" s="3">
        <v>45193</v>
      </c>
      <c r="N60" s="3">
        <v>45923</v>
      </c>
      <c r="O60" s="55">
        <f t="shared" si="0"/>
        <v>730</v>
      </c>
      <c r="P60" s="1" t="s">
        <v>104</v>
      </c>
      <c r="Q60" s="1" t="s">
        <v>105</v>
      </c>
      <c r="R60" s="1" t="s">
        <v>172</v>
      </c>
      <c r="S60" s="4">
        <v>46126</v>
      </c>
      <c r="T60">
        <f t="shared" si="1"/>
        <v>203</v>
      </c>
      <c r="U60" s="1" t="s">
        <v>96</v>
      </c>
      <c r="V60" s="1" t="s">
        <v>221</v>
      </c>
      <c r="W60" s="1" t="s">
        <v>299</v>
      </c>
      <c r="X60" s="3" t="s">
        <v>317</v>
      </c>
      <c r="Y60" s="1" t="s">
        <v>139</v>
      </c>
      <c r="Z60" s="4">
        <v>46126</v>
      </c>
      <c r="AA60" s="3">
        <f>DogSample3[[#This Row],[Behavioural recording start]]+6</f>
        <v>46132</v>
      </c>
      <c r="AB60" s="19">
        <v>10.4</v>
      </c>
      <c r="AC60" s="4">
        <f>DogSample3[[#This Row],[1st Blood sample]]+1</f>
        <v>46133</v>
      </c>
      <c r="AD60" s="4">
        <f>DogSample3[[#This Row],[Treatment start]]+40</f>
        <v>46173</v>
      </c>
      <c r="AE60" s="5">
        <f>DogSample3[[#This Row],[2nd Behavioural recording start]]+4</f>
        <v>46177</v>
      </c>
      <c r="AF60" s="4">
        <f>DogSample3[[#This Row],[2nd Behavioural recording start]]+5</f>
        <v>46178</v>
      </c>
      <c r="AG60" s="8">
        <v>9.58</v>
      </c>
      <c r="AH60" s="8">
        <v>6.65</v>
      </c>
      <c r="AI60" s="8">
        <v>6.26</v>
      </c>
      <c r="AJ60" s="8">
        <v>17.100000000000001</v>
      </c>
      <c r="AK60" s="8">
        <v>15.7</v>
      </c>
      <c r="AL60" s="8">
        <v>46.9</v>
      </c>
      <c r="AM60" s="8">
        <v>44.2</v>
      </c>
      <c r="AN60" s="8">
        <v>46.9</v>
      </c>
      <c r="AO60" s="8">
        <v>35.5</v>
      </c>
      <c r="AP60" s="8">
        <v>13.7</v>
      </c>
      <c r="AQ60" s="8">
        <v>11.9</v>
      </c>
      <c r="AR60" s="8">
        <v>9.4</v>
      </c>
      <c r="AS60" s="8">
        <v>7.75</v>
      </c>
      <c r="AT60" s="10">
        <v>75</v>
      </c>
      <c r="AU60" s="10">
        <v>65</v>
      </c>
      <c r="AV60" s="10">
        <v>15</v>
      </c>
      <c r="AW60" s="10">
        <v>24</v>
      </c>
      <c r="AX60" s="10">
        <v>8</v>
      </c>
      <c r="AY60" s="10">
        <v>9</v>
      </c>
      <c r="AZ60" s="10">
        <v>4</v>
      </c>
      <c r="BA60" s="10">
        <v>2</v>
      </c>
      <c r="BB60" s="8">
        <v>7.05</v>
      </c>
      <c r="BC60" s="8">
        <v>5.04</v>
      </c>
      <c r="BD60" s="8">
        <v>1.43</v>
      </c>
      <c r="BE60" s="8">
        <v>1.9</v>
      </c>
      <c r="BF60" s="8">
        <v>0.73</v>
      </c>
      <c r="BG60" s="8">
        <v>0.73</v>
      </c>
      <c r="BH60" s="8">
        <v>0.36</v>
      </c>
      <c r="BI60" s="8">
        <v>0.18</v>
      </c>
      <c r="BJ60" s="10">
        <v>243</v>
      </c>
      <c r="BK60" s="10">
        <v>249</v>
      </c>
      <c r="BL60" s="9">
        <v>10.4</v>
      </c>
      <c r="BM60" s="8">
        <v>11.4</v>
      </c>
      <c r="BN60" s="8">
        <v>0.25</v>
      </c>
      <c r="BO60" s="8">
        <v>0.28000000000000003</v>
      </c>
      <c r="BP60" s="14">
        <v>46</v>
      </c>
      <c r="BQ60" s="14">
        <v>67</v>
      </c>
      <c r="BR60" s="10">
        <v>34</v>
      </c>
      <c r="BS60" s="10">
        <v>46</v>
      </c>
      <c r="BT60" s="8">
        <v>0.08</v>
      </c>
      <c r="BU60" s="8">
        <v>0.12</v>
      </c>
      <c r="BV60" s="10">
        <v>31</v>
      </c>
      <c r="BW60" s="10">
        <v>30</v>
      </c>
      <c r="BX60" s="8">
        <v>0.91</v>
      </c>
      <c r="BY60" s="8">
        <v>1.1399999999999999</v>
      </c>
      <c r="BZ60" s="10">
        <v>26036025</v>
      </c>
      <c r="CA60" s="4"/>
      <c r="CB60" s="7">
        <v>29</v>
      </c>
      <c r="CC60" s="7"/>
      <c r="CD60" s="17">
        <v>306.7</v>
      </c>
      <c r="CE60" s="11"/>
      <c r="CF60" s="21">
        <f t="shared" si="5"/>
        <v>9.4554939680469519E-2</v>
      </c>
      <c r="CG60" s="11" t="e">
        <f>(CC60/CE60)</f>
        <v>#DIV/0!</v>
      </c>
      <c r="CH60" s="18"/>
      <c r="CJ60" s="55" t="s">
        <v>101</v>
      </c>
    </row>
    <row r="61" spans="1:90" x14ac:dyDescent="0.2">
      <c r="A61" s="1" t="s">
        <v>300</v>
      </c>
      <c r="B61" s="55" t="s">
        <v>301</v>
      </c>
      <c r="C61" s="1">
        <v>20250681</v>
      </c>
      <c r="D61" s="2">
        <v>380260102639498</v>
      </c>
      <c r="E61" s="2">
        <v>0</v>
      </c>
      <c r="F61" s="82">
        <v>21.3</v>
      </c>
      <c r="G61" s="1">
        <v>22.4</v>
      </c>
      <c r="H61" s="1">
        <v>3</v>
      </c>
      <c r="I61" s="1">
        <v>3</v>
      </c>
      <c r="J61" s="56">
        <f>DogSample3[[#This Row],[Weight pre (kg)]]*4.5/50</f>
        <v>1.9170000000000003</v>
      </c>
      <c r="K61" s="1" t="s">
        <v>302</v>
      </c>
      <c r="L61" s="58" t="s">
        <v>298</v>
      </c>
      <c r="M61" s="3">
        <v>45063</v>
      </c>
      <c r="N61" s="3">
        <v>45794</v>
      </c>
      <c r="O61" s="55">
        <f t="shared" si="0"/>
        <v>731</v>
      </c>
      <c r="P61" s="1" t="s">
        <v>104</v>
      </c>
      <c r="Q61" s="1" t="s">
        <v>105</v>
      </c>
      <c r="R61" s="1" t="s">
        <v>303</v>
      </c>
      <c r="S61" s="4">
        <v>46126</v>
      </c>
      <c r="T61">
        <f t="shared" si="1"/>
        <v>332</v>
      </c>
      <c r="U61" s="1" t="s">
        <v>96</v>
      </c>
      <c r="V61" s="1" t="s">
        <v>240</v>
      </c>
      <c r="W61" s="1" t="s">
        <v>304</v>
      </c>
      <c r="X61" s="3"/>
      <c r="Y61" s="1" t="s">
        <v>139</v>
      </c>
      <c r="Z61" s="4">
        <v>46126</v>
      </c>
      <c r="AA61" s="3">
        <f>DogSample3[[#This Row],[Behavioural recording start]]+6</f>
        <v>46132</v>
      </c>
      <c r="AB61" s="19">
        <v>10.49</v>
      </c>
      <c r="AC61" s="4">
        <f>DogSample3[[#This Row],[1st Blood sample]]+1</f>
        <v>46133</v>
      </c>
      <c r="AD61" s="4">
        <f>DogSample3[[#This Row],[Treatment start]]+40</f>
        <v>46173</v>
      </c>
      <c r="AE61" s="5">
        <f>DogSample3[[#This Row],[2nd Behavioural recording start]]+4</f>
        <v>46177</v>
      </c>
      <c r="AF61" s="4">
        <f>DogSample3[[#This Row],[2nd Behavioural recording start]]+5</f>
        <v>46178</v>
      </c>
      <c r="AG61" s="8">
        <v>10.42</v>
      </c>
      <c r="AH61" s="8">
        <v>8.33</v>
      </c>
      <c r="AI61" s="8">
        <v>8.01</v>
      </c>
      <c r="AJ61" s="13">
        <v>19.71</v>
      </c>
      <c r="AK61" s="8">
        <v>17.91</v>
      </c>
      <c r="AL61" s="8">
        <v>54</v>
      </c>
      <c r="AM61" s="8">
        <v>51.2</v>
      </c>
      <c r="AN61" s="8">
        <v>36.5</v>
      </c>
      <c r="AO61" s="8">
        <v>34.979999999999997</v>
      </c>
      <c r="AP61" s="13">
        <v>15.31</v>
      </c>
      <c r="AQ61" s="8">
        <v>14.11</v>
      </c>
      <c r="AR61" s="8">
        <v>8.94</v>
      </c>
      <c r="AS61" s="8">
        <v>8.0399999999999991</v>
      </c>
      <c r="AT61" s="10">
        <v>57</v>
      </c>
      <c r="AU61" s="15">
        <v>53</v>
      </c>
      <c r="AV61" s="14">
        <v>31</v>
      </c>
      <c r="AW61" s="14">
        <v>30</v>
      </c>
      <c r="AX61" s="10">
        <v>8</v>
      </c>
      <c r="AY61" s="10">
        <v>6</v>
      </c>
      <c r="AZ61" s="10">
        <v>6</v>
      </c>
      <c r="BA61" s="14">
        <v>13</v>
      </c>
      <c r="BB61" s="8">
        <v>5.0999999999999996</v>
      </c>
      <c r="BC61" s="8">
        <v>4.26</v>
      </c>
      <c r="BD61" s="8">
        <v>2.73</v>
      </c>
      <c r="BE61" s="8">
        <v>2.38</v>
      </c>
      <c r="BF61" s="8">
        <v>0.71</v>
      </c>
      <c r="BG61" s="8">
        <v>0.52</v>
      </c>
      <c r="BH61" s="8">
        <v>0.55000000000000004</v>
      </c>
      <c r="BI61" s="8">
        <v>1.04</v>
      </c>
      <c r="BJ61" s="10">
        <v>242</v>
      </c>
      <c r="BK61" s="10">
        <v>215</v>
      </c>
      <c r="BL61" s="8">
        <v>9.5</v>
      </c>
      <c r="BM61" s="8">
        <v>11.3</v>
      </c>
      <c r="BN61" s="8">
        <v>0.23</v>
      </c>
      <c r="BO61" s="8">
        <v>0.24</v>
      </c>
      <c r="BP61" s="10">
        <v>23</v>
      </c>
      <c r="BQ61" s="10">
        <v>30</v>
      </c>
      <c r="BR61" s="10">
        <v>38</v>
      </c>
      <c r="BS61" s="10">
        <v>42</v>
      </c>
      <c r="BT61" s="8">
        <v>0.18</v>
      </c>
      <c r="BU61" s="8">
        <v>0.28000000000000003</v>
      </c>
      <c r="BV61" s="10">
        <v>30</v>
      </c>
      <c r="BW61" s="10">
        <v>31</v>
      </c>
      <c r="BX61" s="8">
        <v>1.03</v>
      </c>
      <c r="BY61" s="8">
        <v>1.07</v>
      </c>
      <c r="BZ61" s="10">
        <v>26036025</v>
      </c>
      <c r="CA61" s="4"/>
      <c r="CB61" s="86">
        <v>48</v>
      </c>
      <c r="CC61" s="7"/>
      <c r="CD61" s="17">
        <v>343.6</v>
      </c>
      <c r="CE61" s="11"/>
      <c r="CF61" s="21">
        <f t="shared" si="5"/>
        <v>0.13969732246798602</v>
      </c>
      <c r="CG61" s="11" t="e">
        <f>(CC61/CE61)</f>
        <v>#DIV/0!</v>
      </c>
      <c r="CH61" s="18"/>
      <c r="CJ61" s="55" t="s">
        <v>305</v>
      </c>
    </row>
    <row r="62" spans="1:90" x14ac:dyDescent="0.2">
      <c r="A62" s="55" t="s">
        <v>306</v>
      </c>
      <c r="B62" s="55" t="s">
        <v>307</v>
      </c>
      <c r="C62">
        <v>20260284</v>
      </c>
      <c r="D62" s="10">
        <v>380260170499124</v>
      </c>
      <c r="E62" s="2">
        <v>1</v>
      </c>
      <c r="F62">
        <v>20.55</v>
      </c>
      <c r="G62">
        <v>20.8</v>
      </c>
      <c r="H62">
        <v>3</v>
      </c>
      <c r="I62">
        <v>3</v>
      </c>
      <c r="J62" s="56">
        <f>DogSample3[[#This Row],[Weight pre (kg)]]*4.5/50</f>
        <v>1.8495000000000001</v>
      </c>
      <c r="K62" s="55" t="s">
        <v>161</v>
      </c>
      <c r="L62" s="55" t="s">
        <v>294</v>
      </c>
      <c r="M62" s="4">
        <v>45708</v>
      </c>
      <c r="N62" s="4">
        <v>46073</v>
      </c>
      <c r="O62" s="55">
        <f t="shared" si="0"/>
        <v>365</v>
      </c>
      <c r="P62" s="55" t="s">
        <v>104</v>
      </c>
      <c r="Q62" s="55" t="s">
        <v>105</v>
      </c>
      <c r="R62" s="55" t="s">
        <v>172</v>
      </c>
      <c r="S62" s="4">
        <v>46127</v>
      </c>
      <c r="T62">
        <f t="shared" si="1"/>
        <v>54</v>
      </c>
      <c r="U62" s="55" t="s">
        <v>96</v>
      </c>
      <c r="V62" s="55" t="s">
        <v>137</v>
      </c>
      <c r="W62" s="55" t="s">
        <v>308</v>
      </c>
      <c r="X62" s="4">
        <v>46094</v>
      </c>
      <c r="Y62" s="55" t="s">
        <v>139</v>
      </c>
      <c r="Z62" s="4">
        <v>46127</v>
      </c>
      <c r="AA62" s="3">
        <f>DogSample3[[#This Row],[Behavioural recording start]]+6</f>
        <v>46133</v>
      </c>
      <c r="AB62">
        <v>10.35</v>
      </c>
      <c r="AC62" s="4">
        <f>DogSample3[[#This Row],[1st Blood sample]]+1</f>
        <v>46134</v>
      </c>
      <c r="AD62" s="4">
        <f>DogSample3[[#This Row],[Treatment start]]+40</f>
        <v>46174</v>
      </c>
      <c r="AE62" s="5">
        <f>DogSample3[[#This Row],[2nd Behavioural recording start]]+4</f>
        <v>46178</v>
      </c>
      <c r="AF62" s="4">
        <f>DogSample3[[#This Row],[2nd Behavioural recording start]]+5</f>
        <v>46179</v>
      </c>
      <c r="AG62" s="8">
        <v>11.16</v>
      </c>
      <c r="AH62" s="8">
        <v>7.11</v>
      </c>
      <c r="AI62" s="8">
        <v>7.25</v>
      </c>
      <c r="AJ62" s="8">
        <v>16.399999999999999</v>
      </c>
      <c r="AK62" s="8">
        <v>16.600000000000001</v>
      </c>
      <c r="AL62" s="8">
        <v>47.3</v>
      </c>
      <c r="AM62" s="8">
        <v>48.9</v>
      </c>
      <c r="AN62" s="66">
        <v>34.700000000000003</v>
      </c>
      <c r="AO62" s="8">
        <v>33.9</v>
      </c>
      <c r="AP62" s="8">
        <v>14.1</v>
      </c>
      <c r="AQ62" s="8">
        <v>13.9</v>
      </c>
      <c r="AR62" s="8">
        <v>12.8</v>
      </c>
      <c r="AS62" s="8">
        <v>10.75</v>
      </c>
      <c r="AT62" s="10">
        <v>57</v>
      </c>
      <c r="AU62" s="10">
        <v>60</v>
      </c>
      <c r="AV62" s="14">
        <v>32</v>
      </c>
      <c r="AW62" s="14">
        <v>31</v>
      </c>
      <c r="AX62" s="10">
        <v>8</v>
      </c>
      <c r="AY62" s="10">
        <v>6</v>
      </c>
      <c r="AZ62" s="10">
        <v>3</v>
      </c>
      <c r="BA62" s="10">
        <v>5</v>
      </c>
      <c r="BB62" s="8">
        <v>7.3</v>
      </c>
      <c r="BC62" s="8">
        <v>6.45</v>
      </c>
      <c r="BD62" s="13">
        <v>4.1399999999999997</v>
      </c>
      <c r="BE62" s="8">
        <v>3.28</v>
      </c>
      <c r="BF62" s="8">
        <v>1.08</v>
      </c>
      <c r="BG62" s="8">
        <v>0.63</v>
      </c>
      <c r="BH62" s="8">
        <v>0.42</v>
      </c>
      <c r="BI62" s="8">
        <v>0.54</v>
      </c>
      <c r="BJ62" s="10">
        <v>409</v>
      </c>
      <c r="BK62" s="10">
        <v>392</v>
      </c>
      <c r="BL62" s="9">
        <v>8.3000000000000007</v>
      </c>
      <c r="BM62" s="8">
        <v>9.1</v>
      </c>
      <c r="BN62" s="8">
        <v>0.34</v>
      </c>
      <c r="BO62" s="8">
        <v>0.36</v>
      </c>
      <c r="BP62" s="10">
        <v>33</v>
      </c>
      <c r="BQ62" s="14">
        <v>60</v>
      </c>
      <c r="BR62" s="10">
        <v>35</v>
      </c>
      <c r="BS62" s="10">
        <v>42</v>
      </c>
      <c r="BT62" s="8">
        <v>0.11</v>
      </c>
      <c r="BU62" s="8">
        <v>0.22</v>
      </c>
      <c r="BV62" s="10">
        <v>29</v>
      </c>
      <c r="BW62" s="10">
        <v>26</v>
      </c>
      <c r="BX62" s="8">
        <v>0.92</v>
      </c>
      <c r="BY62" s="8">
        <v>1.1100000000000001</v>
      </c>
      <c r="BZ62">
        <v>26036574</v>
      </c>
      <c r="CB62">
        <v>16</v>
      </c>
      <c r="CD62" s="9">
        <v>291.8</v>
      </c>
      <c r="CF62" s="11">
        <f t="shared" si="5"/>
        <v>5.4832076764907471E-2</v>
      </c>
      <c r="CH62" s="18"/>
      <c r="CJ62" s="55" t="s">
        <v>101</v>
      </c>
    </row>
    <row r="63" spans="1:90" x14ac:dyDescent="0.2">
      <c r="A63" s="55" t="s">
        <v>309</v>
      </c>
      <c r="B63" s="55" t="s">
        <v>310</v>
      </c>
      <c r="C63">
        <v>20251901</v>
      </c>
      <c r="D63" s="10">
        <v>380260170353666</v>
      </c>
      <c r="E63" s="2">
        <v>1</v>
      </c>
      <c r="F63">
        <v>25.55</v>
      </c>
      <c r="G63">
        <v>24.9</v>
      </c>
      <c r="H63">
        <v>3</v>
      </c>
      <c r="I63">
        <v>3</v>
      </c>
      <c r="J63" s="56">
        <f>DogSample3[[#This Row],[Weight pre (kg)]]*4.5/50</f>
        <v>2.2995000000000001</v>
      </c>
      <c r="K63" s="55" t="s">
        <v>92</v>
      </c>
      <c r="L63" s="55" t="s">
        <v>294</v>
      </c>
      <c r="M63" s="4">
        <v>45624</v>
      </c>
      <c r="N63" s="4">
        <v>45989</v>
      </c>
      <c r="O63" s="55">
        <f t="shared" si="0"/>
        <v>365</v>
      </c>
      <c r="P63" s="55" t="s">
        <v>104</v>
      </c>
      <c r="Q63" s="55" t="s">
        <v>105</v>
      </c>
      <c r="R63" s="55" t="s">
        <v>106</v>
      </c>
      <c r="S63" s="4">
        <v>46126</v>
      </c>
      <c r="T63">
        <f t="shared" si="1"/>
        <v>137</v>
      </c>
      <c r="V63" s="55" t="s">
        <v>137</v>
      </c>
      <c r="W63" s="55" t="s">
        <v>311</v>
      </c>
      <c r="X63" s="4">
        <v>46073</v>
      </c>
      <c r="Y63" s="55" t="s">
        <v>139</v>
      </c>
      <c r="Z63" s="4">
        <v>46126</v>
      </c>
      <c r="AA63" s="3">
        <f>DogSample3[[#This Row],[Behavioural recording start]]+7</f>
        <v>46133</v>
      </c>
      <c r="AB63">
        <v>10.55</v>
      </c>
      <c r="AC63" s="4">
        <f>DogSample3[[#This Row],[1st Blood sample]]+1</f>
        <v>46134</v>
      </c>
      <c r="AD63" s="4">
        <f>DogSample3[[#This Row],[Treatment start]]+40</f>
        <v>46174</v>
      </c>
      <c r="AE63" s="5">
        <f>DogSample3[[#This Row],[2nd Behavioural recording start]]+4</f>
        <v>46178</v>
      </c>
      <c r="AF63" s="4">
        <f>DogSample3[[#This Row],[2nd Behavioural recording start]]+5</f>
        <v>46179</v>
      </c>
      <c r="AG63" s="8">
        <v>10.44</v>
      </c>
      <c r="AH63" s="8">
        <v>6.79</v>
      </c>
      <c r="AI63" s="8">
        <v>6.84</v>
      </c>
      <c r="AJ63" s="8">
        <v>17.2</v>
      </c>
      <c r="AK63" s="8">
        <v>17.3</v>
      </c>
      <c r="AL63" s="8">
        <v>48.3</v>
      </c>
      <c r="AM63" s="8">
        <v>48.7</v>
      </c>
      <c r="AN63" s="66">
        <v>35.700000000000003</v>
      </c>
      <c r="AO63" s="8">
        <v>35.5</v>
      </c>
      <c r="AP63" s="8">
        <v>13.4</v>
      </c>
      <c r="AQ63" s="8">
        <v>12.6</v>
      </c>
      <c r="AR63" s="8">
        <v>6.1</v>
      </c>
      <c r="AS63" s="8">
        <v>7.11</v>
      </c>
      <c r="AT63" s="10">
        <v>61</v>
      </c>
      <c r="AU63" s="10">
        <v>58</v>
      </c>
      <c r="AV63" s="14">
        <v>27</v>
      </c>
      <c r="AW63" s="14">
        <v>32</v>
      </c>
      <c r="AX63" s="10">
        <v>10</v>
      </c>
      <c r="AY63" s="10">
        <v>7</v>
      </c>
      <c r="AZ63" s="10">
        <v>5</v>
      </c>
      <c r="BA63" s="10">
        <v>5</v>
      </c>
      <c r="BB63" s="8">
        <v>3.72</v>
      </c>
      <c r="BC63" s="8">
        <v>4.12</v>
      </c>
      <c r="BD63" s="8">
        <v>1.64</v>
      </c>
      <c r="BE63" s="8">
        <v>2.2799999999999998</v>
      </c>
      <c r="BF63" s="8">
        <v>0.6</v>
      </c>
      <c r="BG63" s="8">
        <v>0.48</v>
      </c>
      <c r="BH63" s="8">
        <v>0.3</v>
      </c>
      <c r="BI63" s="8">
        <v>0.35</v>
      </c>
      <c r="BJ63" s="10">
        <v>333</v>
      </c>
      <c r="BK63" s="10">
        <v>305</v>
      </c>
      <c r="BL63" s="8">
        <v>9.8000000000000007</v>
      </c>
      <c r="BM63" s="8">
        <v>9.9</v>
      </c>
      <c r="BN63" s="8">
        <v>0.33</v>
      </c>
      <c r="BO63" s="8">
        <v>0.3</v>
      </c>
      <c r="BP63" s="14">
        <v>43</v>
      </c>
      <c r="BQ63" s="14">
        <v>41</v>
      </c>
      <c r="BR63" s="10">
        <v>39</v>
      </c>
      <c r="BS63" s="10">
        <v>34</v>
      </c>
      <c r="BT63" s="8">
        <v>0.1</v>
      </c>
      <c r="BU63" s="8">
        <v>0.19</v>
      </c>
      <c r="BV63" s="10">
        <v>32</v>
      </c>
      <c r="BW63" s="10">
        <v>28</v>
      </c>
      <c r="BX63" s="8">
        <v>1.17</v>
      </c>
      <c r="BY63" s="8">
        <v>1.28</v>
      </c>
      <c r="BZ63">
        <v>26036574</v>
      </c>
      <c r="CB63" s="6">
        <v>23</v>
      </c>
      <c r="CD63">
        <v>262.2</v>
      </c>
      <c r="CH63" s="18"/>
      <c r="CJ63" s="55" t="s">
        <v>101</v>
      </c>
    </row>
    <row r="64" spans="1:90" x14ac:dyDescent="0.2">
      <c r="A64" s="1" t="s">
        <v>312</v>
      </c>
      <c r="B64" s="55" t="s">
        <v>313</v>
      </c>
      <c r="C64" s="1">
        <v>20260094</v>
      </c>
      <c r="D64" s="2">
        <v>380260170353370</v>
      </c>
      <c r="E64" s="2">
        <v>1</v>
      </c>
      <c r="F64" s="1">
        <v>27.4</v>
      </c>
      <c r="G64" s="1">
        <v>27</v>
      </c>
      <c r="H64" s="1">
        <v>3</v>
      </c>
      <c r="I64" s="1">
        <v>2</v>
      </c>
      <c r="J64" s="56">
        <f>DogSample3[[#This Row],[Weight pre (kg)]]*4.5/50</f>
        <v>2.4659999999999997</v>
      </c>
      <c r="K64" s="1" t="s">
        <v>92</v>
      </c>
      <c r="L64" s="58" t="s">
        <v>298</v>
      </c>
      <c r="M64" s="3">
        <v>45492</v>
      </c>
      <c r="N64" s="3">
        <v>46040</v>
      </c>
      <c r="O64" s="55">
        <f t="shared" si="0"/>
        <v>548</v>
      </c>
      <c r="P64" s="1" t="s">
        <v>104</v>
      </c>
      <c r="Q64" s="1" t="s">
        <v>94</v>
      </c>
      <c r="R64" s="1" t="s">
        <v>95</v>
      </c>
      <c r="S64" s="4">
        <v>46126</v>
      </c>
      <c r="T64">
        <f t="shared" si="1"/>
        <v>86</v>
      </c>
      <c r="U64" s="1"/>
      <c r="V64" s="1" t="s">
        <v>137</v>
      </c>
      <c r="W64" s="1" t="s">
        <v>314</v>
      </c>
      <c r="X64" s="3"/>
      <c r="Y64" s="1" t="s">
        <v>315</v>
      </c>
      <c r="Z64" s="4">
        <v>46126</v>
      </c>
      <c r="AA64" s="3">
        <f>DogSample3[[#This Row],[Behavioural recording start]]+7</f>
        <v>46133</v>
      </c>
      <c r="AB64" s="19">
        <v>11.44</v>
      </c>
      <c r="AC64" s="4">
        <v>46133</v>
      </c>
      <c r="AD64" s="4">
        <f>DogSample3[[#This Row],[Treatment start]]+40</f>
        <v>46173</v>
      </c>
      <c r="AE64" s="5">
        <f>DogSample3[[#This Row],[2nd Behavioural recording start]]+4</f>
        <v>46177</v>
      </c>
      <c r="AF64" s="4">
        <f>DogSample3[[#This Row],[2nd Behavioural recording start]]+5</f>
        <v>46178</v>
      </c>
      <c r="AG64" s="8">
        <v>10.18</v>
      </c>
      <c r="AH64" s="13">
        <v>8.51</v>
      </c>
      <c r="AI64" s="8">
        <v>7.88</v>
      </c>
      <c r="AJ64" s="13">
        <v>18.510000000000002</v>
      </c>
      <c r="AK64" s="8">
        <v>17.5</v>
      </c>
      <c r="AL64" s="8">
        <v>52.2</v>
      </c>
      <c r="AM64" s="8">
        <v>51.4</v>
      </c>
      <c r="AN64" s="8">
        <v>35.4</v>
      </c>
      <c r="AO64" s="8">
        <v>34</v>
      </c>
      <c r="AP64" s="13">
        <v>15.91</v>
      </c>
      <c r="AQ64" s="13">
        <v>15.61</v>
      </c>
      <c r="AR64" s="8">
        <v>14.01</v>
      </c>
      <c r="AS64" s="8">
        <v>12.81</v>
      </c>
      <c r="AT64" s="15">
        <v>46</v>
      </c>
      <c r="AU64" s="10">
        <v>68</v>
      </c>
      <c r="AV64" s="14">
        <v>36</v>
      </c>
      <c r="AW64" s="10">
        <v>19</v>
      </c>
      <c r="AX64" s="10">
        <v>8</v>
      </c>
      <c r="AY64" s="10">
        <v>7</v>
      </c>
      <c r="AZ64" s="14">
        <v>11</v>
      </c>
      <c r="BA64" s="10">
        <v>9</v>
      </c>
      <c r="BB64" s="8">
        <v>6.44</v>
      </c>
      <c r="BC64" s="8">
        <v>8.67</v>
      </c>
      <c r="BD64" s="13">
        <v>5.0599999999999996</v>
      </c>
      <c r="BE64" s="8">
        <v>2.4300000000000002</v>
      </c>
      <c r="BF64" s="8">
        <v>1.06</v>
      </c>
      <c r="BG64" s="8">
        <v>0.89</v>
      </c>
      <c r="BH64" s="13">
        <v>1.57</v>
      </c>
      <c r="BI64" s="13">
        <v>1.1399999999999999</v>
      </c>
      <c r="BJ64" s="10">
        <v>192</v>
      </c>
      <c r="BK64" s="10">
        <v>298</v>
      </c>
      <c r="BL64" s="8">
        <v>11.14</v>
      </c>
      <c r="BM64" s="8">
        <v>9.9</v>
      </c>
      <c r="BN64" s="8">
        <v>0.21</v>
      </c>
      <c r="BO64" s="8">
        <v>0.3</v>
      </c>
      <c r="BP64" s="10">
        <v>34</v>
      </c>
      <c r="BQ64" s="10">
        <v>32</v>
      </c>
      <c r="BR64" s="10">
        <v>24</v>
      </c>
      <c r="BS64" s="10">
        <v>25</v>
      </c>
      <c r="BT64" s="8">
        <v>0.13</v>
      </c>
      <c r="BU64" s="8">
        <v>0.43</v>
      </c>
      <c r="BV64" s="10">
        <v>32</v>
      </c>
      <c r="BW64" s="10">
        <v>28</v>
      </c>
      <c r="BX64" s="8">
        <v>1.3</v>
      </c>
      <c r="BY64" s="8">
        <v>0.61</v>
      </c>
      <c r="BZ64" s="10">
        <v>26036574</v>
      </c>
      <c r="CA64" s="4"/>
      <c r="CB64" s="7">
        <v>23</v>
      </c>
      <c r="CC64" s="7"/>
      <c r="CD64" s="17">
        <v>314.60000000000002</v>
      </c>
      <c r="CE64" s="11"/>
      <c r="CF64" s="21">
        <f>(CB64/CD64)</f>
        <v>7.3108709472345837E-2</v>
      </c>
      <c r="CG64" s="11" t="e">
        <f>(CC64/CE64)</f>
        <v>#DIV/0!</v>
      </c>
      <c r="CH64" s="18"/>
      <c r="CJ64" s="55" t="s">
        <v>101</v>
      </c>
    </row>
    <row r="65" spans="13:90" x14ac:dyDescent="0.2">
      <c r="M65"/>
      <c r="N65"/>
      <c r="X65"/>
      <c r="AG65"/>
      <c r="CI65"/>
      <c r="CJ65"/>
    </row>
    <row r="66" spans="13:90" x14ac:dyDescent="0.2">
      <c r="M66"/>
      <c r="N66"/>
      <c r="X66"/>
      <c r="AG66"/>
      <c r="CI66"/>
      <c r="CJ66"/>
      <c r="CK66" s="20"/>
      <c r="CL66" s="20"/>
    </row>
    <row r="67" spans="13:90" x14ac:dyDescent="0.2">
      <c r="M67"/>
      <c r="N67"/>
      <c r="X67"/>
      <c r="AG67"/>
      <c r="CI67"/>
      <c r="CJ67"/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Eugenia Maurizia Natoli</dc:creator>
  <cp:keywords/>
  <dc:description/>
  <cp:lastModifiedBy>Franco Pio Corsetti</cp:lastModifiedBy>
  <cp:revision/>
  <dcterms:created xsi:type="dcterms:W3CDTF">2025-09-06T18:43:39Z</dcterms:created>
  <dcterms:modified xsi:type="dcterms:W3CDTF">2026-06-14T08:43:25Z</dcterms:modified>
  <cp:category/>
  <cp:contentStatus/>
</cp:coreProperties>
</file>